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E743399C-B6F7-47AE-917E-3661EC32E38B}" xr6:coauthVersionLast="47" xr6:coauthVersionMax="47" xr10:uidLastSave="{00000000-0000-0000-0000-000000000000}"/>
  <bookViews>
    <workbookView xWindow="-108" yWindow="-108" windowWidth="23256" windowHeight="12456" firstSheet="10" activeTab="12" xr2:uid="{B5109757-A8E8-4793-A193-6D700A37AE80}"/>
  </bookViews>
  <sheets>
    <sheet name="Sensitivity Analysis" sheetId="4" r:id="rId1"/>
    <sheet name="CUBE" sheetId="18" r:id="rId2"/>
    <sheet name="EKRU" sheetId="19" r:id="rId3"/>
    <sheet name="ZAMBAK" sheetId="20" r:id="rId4"/>
    <sheet name="NİSA" sheetId="21" r:id="rId5"/>
    <sheet name="CHESTER" sheetId="13" r:id="rId6"/>
    <sheet name="ONE" sheetId="24" r:id="rId7"/>
    <sheet name="KUPA" sheetId="26" r:id="rId8"/>
    <sheet name="TUBE" sheetId="29" r:id="rId9"/>
    <sheet name="KURE" sheetId="5" r:id="rId10"/>
    <sheet name=".ITALIC" sheetId="6" r:id="rId11"/>
    <sheet name=".RUBA" sheetId="14" r:id="rId12"/>
    <sheet name="LILA" sheetId="23" r:id="rId13"/>
    <sheet name="Ceylin" sheetId="8" r:id="rId14"/>
    <sheet name="Meryem" sheetId="15" r:id="rId15"/>
    <sheet name=".İnci" sheetId="16" r:id="rId16"/>
    <sheet name="Viva" sheetId="17" r:id="rId17"/>
    <sheet name="Sandalye ayağı" sheetId="11" r:id="rId18"/>
    <sheet name="CUBİC" sheetId="25" r:id="rId19"/>
    <sheet name=".Limon" sheetId="27" r:id="rId20"/>
    <sheet name="ELA" sheetId="28" r:id="rId21"/>
    <sheet name="Conclusion ve result tablo" sheetId="3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4" i="28" l="1"/>
  <c r="O35" i="28" s="1"/>
  <c r="O36" i="28" s="1"/>
  <c r="O37" i="28" s="1"/>
  <c r="AR29" i="28"/>
  <c r="O27" i="28"/>
  <c r="O28" i="28" s="1"/>
  <c r="O29" i="28" s="1"/>
  <c r="O30" i="28" s="1"/>
  <c r="O31" i="28" s="1"/>
  <c r="O32" i="28" s="1"/>
  <c r="O33" i="28" s="1"/>
  <c r="AR24" i="28"/>
  <c r="AR25" i="28" s="1"/>
  <c r="AR26" i="28" s="1"/>
  <c r="AR27" i="28" s="1"/>
  <c r="AR28" i="28" s="1"/>
  <c r="AR19" i="28"/>
  <c r="AR20" i="28" s="1"/>
  <c r="AR21" i="28" s="1"/>
  <c r="AR22" i="28" s="1"/>
  <c r="AR23" i="28" s="1"/>
  <c r="C18" i="28"/>
  <c r="AQ16" i="28"/>
  <c r="AQ15" i="28"/>
  <c r="N15" i="28"/>
  <c r="AU14" i="28"/>
  <c r="AQ14" i="28"/>
  <c r="N14" i="28"/>
  <c r="C14" i="28"/>
  <c r="F13" i="28"/>
  <c r="I22" i="28" s="1"/>
  <c r="AD12" i="28"/>
  <c r="AD14" i="28" s="1"/>
  <c r="X12" i="28"/>
  <c r="I12" i="28"/>
  <c r="Z8" i="28"/>
  <c r="U3" i="28"/>
  <c r="X38" i="27"/>
  <c r="X35" i="27"/>
  <c r="O33" i="27"/>
  <c r="X32" i="27"/>
  <c r="O32" i="27"/>
  <c r="X29" i="27"/>
  <c r="AQ28" i="27"/>
  <c r="AQ29" i="27" s="1"/>
  <c r="O28" i="27"/>
  <c r="O29" i="27" s="1"/>
  <c r="O30" i="27" s="1"/>
  <c r="O31" i="27" s="1"/>
  <c r="AQ27" i="27"/>
  <c r="X26" i="27"/>
  <c r="O26" i="27"/>
  <c r="O27" i="27" s="1"/>
  <c r="AQ25" i="27"/>
  <c r="AQ26" i="27" s="1"/>
  <c r="AQ23" i="27"/>
  <c r="AQ24" i="27" s="1"/>
  <c r="X23" i="27"/>
  <c r="O23" i="27"/>
  <c r="O24" i="27" s="1"/>
  <c r="O25" i="27" s="1"/>
  <c r="AQ22" i="27"/>
  <c r="AQ21" i="27"/>
  <c r="AQ20" i="27"/>
  <c r="X20" i="27"/>
  <c r="AQ19" i="27"/>
  <c r="B18" i="27"/>
  <c r="AB8" i="27" s="1"/>
  <c r="X27" i="27" s="1"/>
  <c r="AP16" i="27"/>
  <c r="AP15" i="27"/>
  <c r="N15" i="27"/>
  <c r="AT14" i="27"/>
  <c r="AP14" i="27"/>
  <c r="N14" i="27"/>
  <c r="B14" i="27"/>
  <c r="N13" i="27"/>
  <c r="F13" i="27"/>
  <c r="I12" i="27" s="1"/>
  <c r="AD12" i="27"/>
  <c r="AD14" i="27" s="1"/>
  <c r="Z8" i="27"/>
  <c r="M7" i="27"/>
  <c r="N7" i="27" s="1"/>
  <c r="O7" i="27" s="1"/>
  <c r="P7" i="27" s="1"/>
  <c r="Q7" i="27" s="1"/>
  <c r="R7" i="27" s="1"/>
  <c r="G5" i="27"/>
  <c r="H7" i="27" s="1"/>
  <c r="I7" i="27" s="1"/>
  <c r="J7" i="27" s="1"/>
  <c r="K7" i="27" s="1"/>
  <c r="L7" i="27" s="1"/>
  <c r="U3" i="27"/>
  <c r="X43" i="25"/>
  <c r="X41" i="25"/>
  <c r="X40" i="25"/>
  <c r="X37" i="25"/>
  <c r="X35" i="25"/>
  <c r="X34" i="25"/>
  <c r="O33" i="25"/>
  <c r="O34" i="25" s="1"/>
  <c r="O35" i="25" s="1"/>
  <c r="X32" i="25"/>
  <c r="X31" i="25"/>
  <c r="O31" i="25"/>
  <c r="O32" i="25" s="1"/>
  <c r="O30" i="25"/>
  <c r="AO29" i="25"/>
  <c r="AO30" i="25" s="1"/>
  <c r="AO28" i="25"/>
  <c r="X28" i="25"/>
  <c r="I28" i="25"/>
  <c r="I30" i="25" s="1"/>
  <c r="AO27" i="25"/>
  <c r="X26" i="25"/>
  <c r="O26" i="25"/>
  <c r="O27" i="25" s="1"/>
  <c r="O28" i="25" s="1"/>
  <c r="O29" i="25" s="1"/>
  <c r="X25" i="25"/>
  <c r="O25" i="25"/>
  <c r="I24" i="25"/>
  <c r="X23" i="25"/>
  <c r="AL22" i="25"/>
  <c r="X22" i="25"/>
  <c r="I22" i="25"/>
  <c r="I23" i="25" s="1"/>
  <c r="AO21" i="25"/>
  <c r="AO22" i="25" s="1"/>
  <c r="AO23" i="25" s="1"/>
  <c r="AO24" i="25" s="1"/>
  <c r="AO25" i="25" s="1"/>
  <c r="AO26" i="25" s="1"/>
  <c r="AO20" i="25"/>
  <c r="AR19" i="25"/>
  <c r="N19" i="25"/>
  <c r="I19" i="25"/>
  <c r="C19" i="25"/>
  <c r="N17" i="25"/>
  <c r="AD16" i="25"/>
  <c r="N16" i="25"/>
  <c r="AN15" i="25"/>
  <c r="N15" i="25"/>
  <c r="C15" i="25"/>
  <c r="F6" i="25" s="1"/>
  <c r="G8" i="25" s="1"/>
  <c r="AN14" i="25"/>
  <c r="AD14" i="25"/>
  <c r="X14" i="25"/>
  <c r="I14" i="25"/>
  <c r="I18" i="25" s="1"/>
  <c r="AP10" i="25"/>
  <c r="AL29" i="25" s="1"/>
  <c r="AB10" i="25"/>
  <c r="Z10" i="25"/>
  <c r="X38" i="25" s="1"/>
  <c r="T4" i="25"/>
  <c r="AG39" i="11"/>
  <c r="AG40" i="11" s="1"/>
  <c r="AG41" i="11" s="1"/>
  <c r="AG42" i="11" s="1"/>
  <c r="AG37" i="11"/>
  <c r="AG38" i="11" s="1"/>
  <c r="Q36" i="11"/>
  <c r="AG35" i="11"/>
  <c r="AG36" i="11" s="1"/>
  <c r="AG34" i="11"/>
  <c r="AG33" i="11"/>
  <c r="AU32" i="11"/>
  <c r="AU33" i="11" s="1"/>
  <c r="P32" i="11"/>
  <c r="Q32" i="11" s="1"/>
  <c r="Q33" i="11" s="1"/>
  <c r="Q34" i="11" s="1"/>
  <c r="Q35" i="11" s="1"/>
  <c r="AU31" i="11"/>
  <c r="Q31" i="11"/>
  <c r="AU27" i="11"/>
  <c r="AU28" i="11" s="1"/>
  <c r="AU29" i="11" s="1"/>
  <c r="AU30" i="11" s="1"/>
  <c r="AU25" i="11"/>
  <c r="AU26" i="11" s="1"/>
  <c r="AU24" i="11"/>
  <c r="AU23" i="11"/>
  <c r="P22" i="11"/>
  <c r="AA21" i="11"/>
  <c r="AT20" i="11"/>
  <c r="P20" i="11"/>
  <c r="P37" i="11" s="1"/>
  <c r="Q37" i="11" s="1"/>
  <c r="Q38" i="11" s="1"/>
  <c r="Q39" i="11" s="1"/>
  <c r="Q40" i="11" s="1"/>
  <c r="Q41" i="11" s="1"/>
  <c r="AT19" i="11"/>
  <c r="AG19" i="11"/>
  <c r="P19" i="11"/>
  <c r="AT18" i="11"/>
  <c r="AG18" i="11"/>
  <c r="P18" i="11"/>
  <c r="AG17" i="11"/>
  <c r="AF32" i="11" s="1"/>
  <c r="AG32" i="11" s="1"/>
  <c r="K17" i="11"/>
  <c r="B17" i="11"/>
  <c r="K27" i="11" s="1"/>
  <c r="AA16" i="11"/>
  <c r="B14" i="11"/>
  <c r="AE12" i="11"/>
  <c r="W3" i="11"/>
  <c r="O77" i="17"/>
  <c r="M77" i="17"/>
  <c r="M76" i="17"/>
  <c r="S74" i="17"/>
  <c r="S75" i="17" s="1"/>
  <c r="R74" i="17"/>
  <c r="O73" i="17"/>
  <c r="M68" i="17"/>
  <c r="M69" i="17" s="1"/>
  <c r="M70" i="17" s="1"/>
  <c r="M71" i="17" s="1"/>
  <c r="M72" i="17" s="1"/>
  <c r="V66" i="17"/>
  <c r="R65" i="17"/>
  <c r="S65" i="17" s="1"/>
  <c r="S66" i="17" s="1"/>
  <c r="S67" i="17" s="1"/>
  <c r="S68" i="17" s="1"/>
  <c r="S69" i="17" s="1"/>
  <c r="S70" i="17" s="1"/>
  <c r="S71" i="17" s="1"/>
  <c r="S72" i="17" s="1"/>
  <c r="S73" i="17" s="1"/>
  <c r="M65" i="17"/>
  <c r="M66" i="17" s="1"/>
  <c r="M67" i="17" s="1"/>
  <c r="M64" i="17"/>
  <c r="I63" i="17"/>
  <c r="O53" i="17"/>
  <c r="M52" i="17"/>
  <c r="M50" i="17"/>
  <c r="M48" i="17"/>
  <c r="M47" i="17"/>
  <c r="V45" i="17"/>
  <c r="M45" i="17"/>
  <c r="R44" i="17"/>
  <c r="S44" i="17" s="1"/>
  <c r="M44" i="17"/>
  <c r="M46" i="17" s="1"/>
  <c r="M43" i="17"/>
  <c r="I43" i="17"/>
  <c r="M51" i="17" s="1"/>
  <c r="M34" i="17"/>
  <c r="O33" i="17"/>
  <c r="M33" i="17"/>
  <c r="M31" i="17"/>
  <c r="M29" i="17"/>
  <c r="S26" i="17"/>
  <c r="S27" i="17" s="1"/>
  <c r="S28" i="17" s="1"/>
  <c r="S29" i="17" s="1"/>
  <c r="S30" i="17" s="1"/>
  <c r="S31" i="17" s="1"/>
  <c r="R26" i="17"/>
  <c r="O26" i="17"/>
  <c r="C26" i="17"/>
  <c r="M25" i="17"/>
  <c r="C25" i="17"/>
  <c r="M24" i="17"/>
  <c r="C24" i="17"/>
  <c r="M23" i="17"/>
  <c r="C23" i="17"/>
  <c r="M22" i="17"/>
  <c r="C22" i="17"/>
  <c r="V21" i="17"/>
  <c r="C21" i="17"/>
  <c r="M20" i="17"/>
  <c r="C20" i="17"/>
  <c r="C19" i="17"/>
  <c r="C18" i="17"/>
  <c r="C17" i="17"/>
  <c r="C16" i="17"/>
  <c r="C13" i="17"/>
  <c r="K9" i="17"/>
  <c r="L7" i="17"/>
  <c r="M7" i="17" s="1"/>
  <c r="N7" i="17" s="1"/>
  <c r="O7" i="17" s="1"/>
  <c r="P7" i="17" s="1"/>
  <c r="Q7" i="17" s="1"/>
  <c r="R7" i="17" s="1"/>
  <c r="S7" i="17" s="1"/>
  <c r="T7" i="17" s="1"/>
  <c r="U7" i="17" s="1"/>
  <c r="V7" i="17" s="1"/>
  <c r="F6" i="17"/>
  <c r="F3" i="17"/>
  <c r="M32" i="17" s="1"/>
  <c r="Q84" i="16"/>
  <c r="U80" i="16"/>
  <c r="U76" i="16"/>
  <c r="U77" i="16" s="1"/>
  <c r="U78" i="16" s="1"/>
  <c r="U79" i="16" s="1"/>
  <c r="T76" i="16"/>
  <c r="Q75" i="16"/>
  <c r="O72" i="16"/>
  <c r="O73" i="16" s="1"/>
  <c r="O74" i="16" s="1"/>
  <c r="O75" i="16" s="1"/>
  <c r="X70" i="16"/>
  <c r="U70" i="16"/>
  <c r="U71" i="16" s="1"/>
  <c r="T70" i="16"/>
  <c r="O69" i="16"/>
  <c r="K67" i="16"/>
  <c r="O70" i="16" s="1"/>
  <c r="O71" i="16" s="1"/>
  <c r="Q60" i="16"/>
  <c r="O59" i="16"/>
  <c r="O58" i="16"/>
  <c r="O57" i="16"/>
  <c r="O56" i="16"/>
  <c r="U55" i="16"/>
  <c r="U56" i="16" s="1"/>
  <c r="U53" i="16"/>
  <c r="U54" i="16" s="1"/>
  <c r="T53" i="16"/>
  <c r="Q53" i="16"/>
  <c r="O51" i="16"/>
  <c r="O50" i="16"/>
  <c r="O49" i="16"/>
  <c r="U47" i="16"/>
  <c r="U48" i="16" s="1"/>
  <c r="U49" i="16" s="1"/>
  <c r="U50" i="16" s="1"/>
  <c r="U51" i="16" s="1"/>
  <c r="U52" i="16" s="1"/>
  <c r="O47" i="16"/>
  <c r="X46" i="16"/>
  <c r="U46" i="16"/>
  <c r="O46" i="16"/>
  <c r="O45" i="16"/>
  <c r="K44" i="16"/>
  <c r="O52" i="16" s="1"/>
  <c r="Q36" i="16"/>
  <c r="O36" i="16"/>
  <c r="O33" i="16"/>
  <c r="O32" i="16"/>
  <c r="U29" i="16"/>
  <c r="U30" i="16" s="1"/>
  <c r="U31" i="16" s="1"/>
  <c r="U32" i="16" s="1"/>
  <c r="U33" i="16" s="1"/>
  <c r="T29" i="16"/>
  <c r="Q29" i="16"/>
  <c r="O27" i="16"/>
  <c r="C27" i="16"/>
  <c r="C26" i="16"/>
  <c r="C25" i="16"/>
  <c r="U24" i="16"/>
  <c r="U25" i="16" s="1"/>
  <c r="U26" i="16" s="1"/>
  <c r="U27" i="16" s="1"/>
  <c r="U28" i="16" s="1"/>
  <c r="C24" i="16"/>
  <c r="X23" i="16"/>
  <c r="U23" i="16"/>
  <c r="C23" i="16"/>
  <c r="O22" i="16"/>
  <c r="C22" i="16"/>
  <c r="C21" i="16"/>
  <c r="C20" i="16"/>
  <c r="C19" i="16"/>
  <c r="C18" i="16"/>
  <c r="C17" i="16"/>
  <c r="C16" i="16"/>
  <c r="C14" i="16"/>
  <c r="F7" i="16" s="1"/>
  <c r="M10" i="16"/>
  <c r="T8" i="16"/>
  <c r="U8" i="16" s="1"/>
  <c r="V8" i="16" s="1"/>
  <c r="W8" i="16" s="1"/>
  <c r="X8" i="16" s="1"/>
  <c r="N8" i="16"/>
  <c r="O8" i="16" s="1"/>
  <c r="P8" i="16" s="1"/>
  <c r="Q8" i="16" s="1"/>
  <c r="R8" i="16" s="1"/>
  <c r="S8" i="16" s="1"/>
  <c r="F4" i="16"/>
  <c r="S120" i="15"/>
  <c r="Q118" i="15"/>
  <c r="S114" i="15"/>
  <c r="X113" i="15"/>
  <c r="X111" i="15"/>
  <c r="Q111" i="15"/>
  <c r="X110" i="15"/>
  <c r="X107" i="15"/>
  <c r="X108" i="15" s="1"/>
  <c r="X109" i="15" s="1"/>
  <c r="S107" i="15"/>
  <c r="X106" i="15"/>
  <c r="X104" i="15"/>
  <c r="X105" i="15" s="1"/>
  <c r="Q104" i="15"/>
  <c r="X103" i="15"/>
  <c r="X101" i="15"/>
  <c r="X102" i="15" s="1"/>
  <c r="S100" i="15"/>
  <c r="Q98" i="15"/>
  <c r="Q99" i="15" s="1"/>
  <c r="Q100" i="15" s="1"/>
  <c r="Q97" i="15"/>
  <c r="L96" i="15"/>
  <c r="S84" i="15"/>
  <c r="Q83" i="15"/>
  <c r="Q82" i="15"/>
  <c r="Q81" i="15"/>
  <c r="S78" i="15"/>
  <c r="Q77" i="15"/>
  <c r="Q76" i="15"/>
  <c r="Q75" i="15"/>
  <c r="Q74" i="15"/>
  <c r="Z73" i="15"/>
  <c r="X72" i="15"/>
  <c r="X73" i="15" s="1"/>
  <c r="X74" i="15" s="1"/>
  <c r="W72" i="15"/>
  <c r="S70" i="15"/>
  <c r="W69" i="15"/>
  <c r="X69" i="15" s="1"/>
  <c r="X70" i="15" s="1"/>
  <c r="X71" i="15" s="1"/>
  <c r="Q69" i="15"/>
  <c r="Q68" i="15"/>
  <c r="W67" i="15"/>
  <c r="X67" i="15" s="1"/>
  <c r="X68" i="15" s="1"/>
  <c r="Q67" i="15"/>
  <c r="W64" i="15"/>
  <c r="X64" i="15" s="1"/>
  <c r="S64" i="15"/>
  <c r="Q63" i="15"/>
  <c r="Q62" i="15"/>
  <c r="Q61" i="15"/>
  <c r="Q60" i="15"/>
  <c r="L59" i="15"/>
  <c r="S47" i="15"/>
  <c r="Q47" i="15"/>
  <c r="Q46" i="15"/>
  <c r="S43" i="15"/>
  <c r="Z42" i="15"/>
  <c r="Q41" i="15"/>
  <c r="Q40" i="15"/>
  <c r="Q39" i="15"/>
  <c r="S36" i="15"/>
  <c r="W35" i="15"/>
  <c r="W36" i="15" s="1"/>
  <c r="V35" i="15"/>
  <c r="Q34" i="15"/>
  <c r="V32" i="15"/>
  <c r="W32" i="15" s="1"/>
  <c r="W33" i="15" s="1"/>
  <c r="W34" i="15" s="1"/>
  <c r="Q32" i="15"/>
  <c r="V29" i="15"/>
  <c r="W29" i="15" s="1"/>
  <c r="W30" i="15" s="1"/>
  <c r="W31" i="15" s="1"/>
  <c r="S29" i="15"/>
  <c r="Q28" i="15"/>
  <c r="V26" i="15"/>
  <c r="W26" i="15" s="1"/>
  <c r="Q26" i="15"/>
  <c r="D26" i="15"/>
  <c r="Q25" i="15"/>
  <c r="D25" i="15"/>
  <c r="D24" i="15"/>
  <c r="D23" i="15"/>
  <c r="D22" i="15"/>
  <c r="D21" i="15"/>
  <c r="D20" i="15"/>
  <c r="D19" i="15"/>
  <c r="D18" i="15"/>
  <c r="D17" i="15"/>
  <c r="D16" i="15"/>
  <c r="D14" i="15"/>
  <c r="G7" i="15" s="1"/>
  <c r="P10" i="15"/>
  <c r="Q8" i="15"/>
  <c r="R8" i="15" s="1"/>
  <c r="S8" i="15" s="1"/>
  <c r="T8" i="15" s="1"/>
  <c r="U8" i="15" s="1"/>
  <c r="V8" i="15" s="1"/>
  <c r="W8" i="15" s="1"/>
  <c r="X8" i="15" s="1"/>
  <c r="Y8" i="15" s="1"/>
  <c r="Z8" i="15" s="1"/>
  <c r="AA8" i="15" s="1"/>
  <c r="G4" i="15"/>
  <c r="Q33" i="15" s="1"/>
  <c r="AC99" i="8"/>
  <c r="AA98" i="8"/>
  <c r="AC96" i="8"/>
  <c r="AF92" i="8"/>
  <c r="AG92" i="8" s="1"/>
  <c r="AG93" i="8" s="1"/>
  <c r="AC91" i="8"/>
  <c r="AG90" i="8"/>
  <c r="AG91" i="8" s="1"/>
  <c r="AF89" i="8"/>
  <c r="AG89" i="8" s="1"/>
  <c r="AA88" i="8"/>
  <c r="AF86" i="8"/>
  <c r="AG86" i="8" s="1"/>
  <c r="AG87" i="8" s="1"/>
  <c r="AG88" i="8" s="1"/>
  <c r="AC86" i="8"/>
  <c r="AK84" i="8"/>
  <c r="AF83" i="8"/>
  <c r="AG83" i="8" s="1"/>
  <c r="AG84" i="8" s="1"/>
  <c r="AG85" i="8" s="1"/>
  <c r="V83" i="8"/>
  <c r="AA71" i="8"/>
  <c r="AA70" i="8"/>
  <c r="AG65" i="8"/>
  <c r="AG66" i="8" s="1"/>
  <c r="AA65" i="8"/>
  <c r="AF64" i="8"/>
  <c r="AG64" i="8" s="1"/>
  <c r="AA64" i="8"/>
  <c r="AF61" i="8"/>
  <c r="AG61" i="8" s="1"/>
  <c r="AG62" i="8" s="1"/>
  <c r="AG63" i="8" s="1"/>
  <c r="AG59" i="8"/>
  <c r="AG60" i="8" s="1"/>
  <c r="AF59" i="8"/>
  <c r="AA59" i="8"/>
  <c r="AG57" i="8"/>
  <c r="AG58" i="8" s="1"/>
  <c r="AG56" i="8"/>
  <c r="AF56" i="8"/>
  <c r="AK55" i="8"/>
  <c r="V55" i="8"/>
  <c r="AA61" i="8" s="1"/>
  <c r="AA54" i="8"/>
  <c r="AA42" i="8"/>
  <c r="AA41" i="8"/>
  <c r="AA36" i="8"/>
  <c r="AA35" i="8"/>
  <c r="AA34" i="8"/>
  <c r="AE30" i="8"/>
  <c r="AF30" i="8" s="1"/>
  <c r="AF31" i="8" s="1"/>
  <c r="AA30" i="8"/>
  <c r="AA29" i="8"/>
  <c r="AA28" i="8"/>
  <c r="AE27" i="8"/>
  <c r="AF27" i="8" s="1"/>
  <c r="AF28" i="8" s="1"/>
  <c r="AF29" i="8" s="1"/>
  <c r="D27" i="8"/>
  <c r="D26" i="8"/>
  <c r="AF25" i="8"/>
  <c r="AF26" i="8" s="1"/>
  <c r="D25" i="8"/>
  <c r="AF24" i="8"/>
  <c r="AE24" i="8"/>
  <c r="D24" i="8"/>
  <c r="AA23" i="8"/>
  <c r="D23" i="8"/>
  <c r="AA22" i="8"/>
  <c r="D22" i="8"/>
  <c r="AI21" i="8"/>
  <c r="AE21" i="8"/>
  <c r="AF21" i="8" s="1"/>
  <c r="AF22" i="8" s="1"/>
  <c r="AF23" i="8" s="1"/>
  <c r="AA21" i="8"/>
  <c r="D21" i="8"/>
  <c r="D20" i="8"/>
  <c r="D19" i="8"/>
  <c r="D18" i="8"/>
  <c r="D17" i="8"/>
  <c r="D15" i="8"/>
  <c r="Z10" i="8"/>
  <c r="AA8" i="8"/>
  <c r="AB8" i="8" s="1"/>
  <c r="AC8" i="8" s="1"/>
  <c r="AD8" i="8" s="1"/>
  <c r="AE8" i="8" s="1"/>
  <c r="AF8" i="8" s="1"/>
  <c r="AG8" i="8" s="1"/>
  <c r="AH8" i="8" s="1"/>
  <c r="G7" i="8"/>
  <c r="G4" i="8"/>
  <c r="AA37" i="8" s="1"/>
  <c r="AK33" i="14"/>
  <c r="W29" i="14"/>
  <c r="I29" i="14"/>
  <c r="W28" i="14"/>
  <c r="AK27" i="14"/>
  <c r="AK28" i="14" s="1"/>
  <c r="AK26" i="14"/>
  <c r="AB25" i="14"/>
  <c r="AB26" i="14" s="1"/>
  <c r="W25" i="14"/>
  <c r="N25" i="14"/>
  <c r="N26" i="14" s="1"/>
  <c r="I25" i="14"/>
  <c r="W24" i="14"/>
  <c r="I24" i="14"/>
  <c r="W23" i="14"/>
  <c r="N23" i="14"/>
  <c r="N24" i="14" s="1"/>
  <c r="I23" i="14"/>
  <c r="AB22" i="14"/>
  <c r="AB23" i="14" s="1"/>
  <c r="AB24" i="14" s="1"/>
  <c r="W22" i="14"/>
  <c r="N22" i="14"/>
  <c r="AB21" i="14"/>
  <c r="AK20" i="14"/>
  <c r="AK21" i="14" s="1"/>
  <c r="AB20" i="14"/>
  <c r="AK19" i="14"/>
  <c r="AB19" i="14"/>
  <c r="W19" i="14"/>
  <c r="N19" i="14"/>
  <c r="N20" i="14" s="1"/>
  <c r="N21" i="14" s="1"/>
  <c r="I19" i="14"/>
  <c r="W18" i="14"/>
  <c r="I18" i="14"/>
  <c r="AB17" i="14"/>
  <c r="W17" i="14"/>
  <c r="N17" i="14"/>
  <c r="I17" i="14"/>
  <c r="AE16" i="14"/>
  <c r="AB16" i="14"/>
  <c r="W16" i="14"/>
  <c r="Q16" i="14"/>
  <c r="N16" i="14"/>
  <c r="D16" i="14"/>
  <c r="AK14" i="14"/>
  <c r="AN13" i="14"/>
  <c r="AK13" i="14"/>
  <c r="AB13" i="14"/>
  <c r="W13" i="14"/>
  <c r="N13" i="14"/>
  <c r="I13" i="14"/>
  <c r="C13" i="14"/>
  <c r="C18" i="14" s="1"/>
  <c r="AN12" i="14"/>
  <c r="AK12" i="14"/>
  <c r="AB12" i="14"/>
  <c r="W12" i="14"/>
  <c r="N12" i="14"/>
  <c r="I12" i="14"/>
  <c r="AN11" i="14"/>
  <c r="AB11" i="14"/>
  <c r="W11" i="14"/>
  <c r="N11" i="14"/>
  <c r="I11" i="14"/>
  <c r="AN10" i="14"/>
  <c r="AB10" i="14"/>
  <c r="W10" i="14"/>
  <c r="N10" i="14"/>
  <c r="J6" i="14"/>
  <c r="K6" i="14" s="1"/>
  <c r="L6" i="14" s="1"/>
  <c r="M6" i="14" s="1"/>
  <c r="N6" i="14" s="1"/>
  <c r="O6" i="14" s="1"/>
  <c r="P6" i="14" s="1"/>
  <c r="Q6" i="14" s="1"/>
  <c r="R6" i="14" s="1"/>
  <c r="S6" i="14" s="1"/>
  <c r="I6" i="14"/>
  <c r="V3" i="14"/>
  <c r="AK32" i="6"/>
  <c r="W32" i="6"/>
  <c r="AK31" i="6"/>
  <c r="W31" i="6"/>
  <c r="W28" i="6"/>
  <c r="I28" i="6"/>
  <c r="W27" i="6"/>
  <c r="AN26" i="6"/>
  <c r="AN27" i="6" s="1"/>
  <c r="AC26" i="6"/>
  <c r="AC27" i="6" s="1"/>
  <c r="W26" i="6"/>
  <c r="AN25" i="6"/>
  <c r="AC25" i="6"/>
  <c r="W25" i="6"/>
  <c r="O25" i="6"/>
  <c r="AK24" i="6"/>
  <c r="AK25" i="6" s="1"/>
  <c r="AK26" i="6" s="1"/>
  <c r="O24" i="6"/>
  <c r="AN23" i="6"/>
  <c r="AN24" i="6" s="1"/>
  <c r="AC23" i="6"/>
  <c r="AC24" i="6" s="1"/>
  <c r="I23" i="6"/>
  <c r="AN22" i="6"/>
  <c r="W22" i="6"/>
  <c r="I22" i="6"/>
  <c r="AC21" i="6"/>
  <c r="AC22" i="6" s="1"/>
  <c r="W21" i="6"/>
  <c r="W20" i="6"/>
  <c r="AN19" i="6"/>
  <c r="AN20" i="6" s="1"/>
  <c r="AN21" i="6" s="1"/>
  <c r="AK19" i="6"/>
  <c r="AC19" i="6"/>
  <c r="AC20" i="6" s="1"/>
  <c r="I19" i="6"/>
  <c r="AN18" i="6"/>
  <c r="AQ17" i="6" s="1"/>
  <c r="AQ18" i="6" s="1"/>
  <c r="AK18" i="6"/>
  <c r="AC18" i="6"/>
  <c r="O18" i="6"/>
  <c r="O19" i="6" s="1"/>
  <c r="O20" i="6" s="1"/>
  <c r="O21" i="6" s="1"/>
  <c r="O22" i="6" s="1"/>
  <c r="O23" i="6" s="1"/>
  <c r="AN17" i="6"/>
  <c r="AC17" i="6"/>
  <c r="W17" i="6"/>
  <c r="O17" i="6"/>
  <c r="AQ16" i="6"/>
  <c r="AF16" i="6"/>
  <c r="W16" i="6"/>
  <c r="O16" i="6"/>
  <c r="D16" i="6"/>
  <c r="I20" i="6" s="1"/>
  <c r="W15" i="6"/>
  <c r="O15" i="6"/>
  <c r="AC14" i="6"/>
  <c r="R14" i="6"/>
  <c r="AN13" i="6"/>
  <c r="AC13" i="6"/>
  <c r="I13" i="6"/>
  <c r="C13" i="6"/>
  <c r="C18" i="6" s="1"/>
  <c r="AN12" i="6"/>
  <c r="AK12" i="6"/>
  <c r="AK13" i="6" s="1"/>
  <c r="AC12" i="6"/>
  <c r="W12" i="6"/>
  <c r="P12" i="6"/>
  <c r="I12" i="6"/>
  <c r="AN11" i="6"/>
  <c r="AC11" i="6"/>
  <c r="W11" i="6"/>
  <c r="P11" i="6"/>
  <c r="I11" i="6"/>
  <c r="AN10" i="6"/>
  <c r="AC10" i="6"/>
  <c r="W10" i="6"/>
  <c r="P10" i="6"/>
  <c r="I6" i="6"/>
  <c r="J6" i="6" s="1"/>
  <c r="K6" i="6" s="1"/>
  <c r="L6" i="6" s="1"/>
  <c r="M6" i="6" s="1"/>
  <c r="N6" i="6" s="1"/>
  <c r="O6" i="6" s="1"/>
  <c r="P6" i="6" s="1"/>
  <c r="Q6" i="6" s="1"/>
  <c r="R6" i="6" s="1"/>
  <c r="S6" i="6" s="1"/>
  <c r="V2" i="6"/>
  <c r="AL58" i="5"/>
  <c r="J57" i="5"/>
  <c r="AL53" i="5"/>
  <c r="X49" i="5"/>
  <c r="AL48" i="5"/>
  <c r="X48" i="5"/>
  <c r="J47" i="5"/>
  <c r="X45" i="5"/>
  <c r="X44" i="5"/>
  <c r="AL43" i="5"/>
  <c r="X41" i="5"/>
  <c r="X40" i="5"/>
  <c r="AL38" i="5"/>
  <c r="X37" i="5"/>
  <c r="J37" i="5"/>
  <c r="X36" i="5"/>
  <c r="AL33" i="5"/>
  <c r="X33" i="5"/>
  <c r="X32" i="5"/>
  <c r="J32" i="5"/>
  <c r="X29" i="5"/>
  <c r="AL28" i="5"/>
  <c r="X28" i="5"/>
  <c r="J27" i="5"/>
  <c r="X25" i="5"/>
  <c r="X24" i="5"/>
  <c r="AL23" i="5"/>
  <c r="J22" i="5"/>
  <c r="X20" i="5"/>
  <c r="X19" i="5"/>
  <c r="C19" i="5"/>
  <c r="AL18" i="5"/>
  <c r="J17" i="5"/>
  <c r="D17" i="5"/>
  <c r="J52" i="5" s="1"/>
  <c r="X16" i="5"/>
  <c r="X15" i="5"/>
  <c r="AL13" i="5"/>
  <c r="C13" i="5"/>
  <c r="X12" i="5"/>
  <c r="R12" i="5"/>
  <c r="J12" i="5"/>
  <c r="AR11" i="5"/>
  <c r="AF11" i="5"/>
  <c r="X11" i="5"/>
  <c r="J7" i="5"/>
  <c r="K7" i="5" s="1"/>
  <c r="L7" i="5" s="1"/>
  <c r="W2" i="5"/>
  <c r="L64" i="29"/>
  <c r="I64" i="29"/>
  <c r="I63" i="29"/>
  <c r="I62" i="29"/>
  <c r="I61" i="29"/>
  <c r="I60" i="29"/>
  <c r="O57" i="29"/>
  <c r="P57" i="29" s="1"/>
  <c r="P58" i="29" s="1"/>
  <c r="P59" i="29" s="1"/>
  <c r="P60" i="29" s="1"/>
  <c r="P61" i="29" s="1"/>
  <c r="P62" i="29" s="1"/>
  <c r="I56" i="29"/>
  <c r="L55" i="29"/>
  <c r="O52" i="29" s="1"/>
  <c r="I55" i="29"/>
  <c r="I54" i="29"/>
  <c r="I53" i="29"/>
  <c r="S52" i="29"/>
  <c r="P52" i="29"/>
  <c r="P53" i="29" s="1"/>
  <c r="P54" i="29" s="1"/>
  <c r="P55" i="29" s="1"/>
  <c r="P56" i="29" s="1"/>
  <c r="I52" i="29"/>
  <c r="I47" i="29"/>
  <c r="L46" i="29"/>
  <c r="I46" i="29"/>
  <c r="O45" i="29"/>
  <c r="P45" i="29" s="1"/>
  <c r="I45" i="29"/>
  <c r="I44" i="29"/>
  <c r="I43" i="29"/>
  <c r="I42" i="29"/>
  <c r="O40" i="29"/>
  <c r="P40" i="29" s="1"/>
  <c r="P41" i="29" s="1"/>
  <c r="P42" i="29" s="1"/>
  <c r="P43" i="29" s="1"/>
  <c r="P44" i="29" s="1"/>
  <c r="I39" i="29"/>
  <c r="L38" i="29"/>
  <c r="I38" i="29"/>
  <c r="I37" i="29"/>
  <c r="P36" i="29"/>
  <c r="P37" i="29" s="1"/>
  <c r="P38" i="29" s="1"/>
  <c r="P39" i="29" s="1"/>
  <c r="I36" i="29"/>
  <c r="S35" i="29"/>
  <c r="P35" i="29"/>
  <c r="I35" i="29"/>
  <c r="I34" i="29"/>
  <c r="L27" i="29"/>
  <c r="I23" i="29"/>
  <c r="Q22" i="29"/>
  <c r="Q23" i="29" s="1"/>
  <c r="Q24" i="29" s="1"/>
  <c r="Q25" i="29" s="1"/>
  <c r="P21" i="29"/>
  <c r="Q21" i="29" s="1"/>
  <c r="I20" i="29"/>
  <c r="L19" i="29"/>
  <c r="B18" i="29"/>
  <c r="I17" i="29" s="1"/>
  <c r="Q17" i="29"/>
  <c r="Q18" i="29" s="1"/>
  <c r="P15" i="29"/>
  <c r="Q15" i="29" s="1"/>
  <c r="Q16" i="29" s="1"/>
  <c r="T14" i="29"/>
  <c r="I14" i="29"/>
  <c r="C13" i="29"/>
  <c r="C14" i="29" s="1"/>
  <c r="H7" i="29"/>
  <c r="K6" i="29"/>
  <c r="L6" i="29" s="1"/>
  <c r="M6" i="29" s="1"/>
  <c r="N6" i="29" s="1"/>
  <c r="O6" i="29" s="1"/>
  <c r="P6" i="29" s="1"/>
  <c r="Q6" i="29" s="1"/>
  <c r="R6" i="29" s="1"/>
  <c r="S6" i="29" s="1"/>
  <c r="J6" i="29"/>
  <c r="I6" i="29"/>
  <c r="L64" i="26"/>
  <c r="I64" i="26"/>
  <c r="I63" i="26"/>
  <c r="I62" i="26"/>
  <c r="I61" i="26"/>
  <c r="I60" i="26"/>
  <c r="O57" i="26"/>
  <c r="P57" i="26" s="1"/>
  <c r="P58" i="26" s="1"/>
  <c r="P59" i="26" s="1"/>
  <c r="P60" i="26" s="1"/>
  <c r="P61" i="26" s="1"/>
  <c r="P62" i="26" s="1"/>
  <c r="I56" i="26"/>
  <c r="L55" i="26"/>
  <c r="O52" i="26" s="1"/>
  <c r="I55" i="26"/>
  <c r="P54" i="26"/>
  <c r="P55" i="26" s="1"/>
  <c r="P56" i="26" s="1"/>
  <c r="I54" i="26"/>
  <c r="I53" i="26"/>
  <c r="S52" i="26"/>
  <c r="P52" i="26"/>
  <c r="P53" i="26" s="1"/>
  <c r="I52" i="26"/>
  <c r="I47" i="26"/>
  <c r="L46" i="26"/>
  <c r="I46" i="26"/>
  <c r="P45" i="26"/>
  <c r="I45" i="26"/>
  <c r="I44" i="26"/>
  <c r="I43" i="26"/>
  <c r="I42" i="26"/>
  <c r="P41" i="26"/>
  <c r="P42" i="26" s="1"/>
  <c r="P43" i="26" s="1"/>
  <c r="P40" i="26"/>
  <c r="I39" i="26"/>
  <c r="P38" i="26"/>
  <c r="P39" i="26" s="1"/>
  <c r="L38" i="26"/>
  <c r="I38" i="26"/>
  <c r="P37" i="26"/>
  <c r="I37" i="26"/>
  <c r="P36" i="26"/>
  <c r="I36" i="26"/>
  <c r="S35" i="26"/>
  <c r="P35" i="26"/>
  <c r="I35" i="26"/>
  <c r="I34" i="26"/>
  <c r="L27" i="26"/>
  <c r="I26" i="26"/>
  <c r="P22" i="26"/>
  <c r="P23" i="26" s="1"/>
  <c r="P24" i="26" s="1"/>
  <c r="P25" i="26" s="1"/>
  <c r="I21" i="26"/>
  <c r="L20" i="26"/>
  <c r="I19" i="26"/>
  <c r="P18" i="26"/>
  <c r="P19" i="26" s="1"/>
  <c r="P20" i="26" s="1"/>
  <c r="B18" i="26"/>
  <c r="P17" i="26"/>
  <c r="I17" i="26"/>
  <c r="P16" i="26"/>
  <c r="P15" i="26"/>
  <c r="I15" i="26"/>
  <c r="S14" i="26"/>
  <c r="I14" i="26"/>
  <c r="C13" i="26"/>
  <c r="C14" i="26" s="1"/>
  <c r="H7" i="26"/>
  <c r="I6" i="26"/>
  <c r="J6" i="26" s="1"/>
  <c r="K6" i="26" s="1"/>
  <c r="L6" i="26" s="1"/>
  <c r="M6" i="26" s="1"/>
  <c r="N6" i="26" s="1"/>
  <c r="O6" i="26" s="1"/>
  <c r="P6" i="26" s="1"/>
  <c r="Q6" i="26" s="1"/>
  <c r="R6" i="26" s="1"/>
  <c r="S6" i="26" s="1"/>
  <c r="I68" i="24"/>
  <c r="L67" i="24"/>
  <c r="I67" i="24"/>
  <c r="P66" i="24"/>
  <c r="I66" i="24"/>
  <c r="I65" i="24"/>
  <c r="I64" i="24"/>
  <c r="O61" i="24"/>
  <c r="P61" i="24" s="1"/>
  <c r="P62" i="24" s="1"/>
  <c r="P63" i="24" s="1"/>
  <c r="P64" i="24" s="1"/>
  <c r="P65" i="24" s="1"/>
  <c r="I60" i="24"/>
  <c r="L59" i="24"/>
  <c r="I59" i="24"/>
  <c r="I58" i="24"/>
  <c r="I57" i="24"/>
  <c r="O56" i="24"/>
  <c r="P56" i="24" s="1"/>
  <c r="I56" i="24"/>
  <c r="S55" i="24"/>
  <c r="I48" i="24"/>
  <c r="L47" i="24"/>
  <c r="I47" i="24"/>
  <c r="I46" i="24"/>
  <c r="P45" i="24"/>
  <c r="I45" i="24"/>
  <c r="I44" i="24"/>
  <c r="I43" i="24"/>
  <c r="O40" i="24"/>
  <c r="P40" i="24" s="1"/>
  <c r="P41" i="24" s="1"/>
  <c r="P42" i="24" s="1"/>
  <c r="P43" i="24" s="1"/>
  <c r="P44" i="24" s="1"/>
  <c r="I39" i="24"/>
  <c r="L38" i="24"/>
  <c r="I38" i="24"/>
  <c r="I37" i="24"/>
  <c r="I36" i="24"/>
  <c r="P35" i="24"/>
  <c r="I35" i="24"/>
  <c r="S34" i="24"/>
  <c r="I34" i="24"/>
  <c r="L27" i="24"/>
  <c r="I26" i="24"/>
  <c r="I24" i="24"/>
  <c r="I23" i="24"/>
  <c r="O21" i="24"/>
  <c r="P21" i="24" s="1"/>
  <c r="P22" i="24" s="1"/>
  <c r="P23" i="24" s="1"/>
  <c r="P24" i="24" s="1"/>
  <c r="P25" i="24" s="1"/>
  <c r="L19" i="24"/>
  <c r="O15" i="24" s="1"/>
  <c r="P15" i="24" s="1"/>
  <c r="B18" i="24"/>
  <c r="I20" i="24" s="1"/>
  <c r="I17" i="24"/>
  <c r="S14" i="24"/>
  <c r="I14" i="24"/>
  <c r="C14" i="24"/>
  <c r="C13" i="24"/>
  <c r="I7" i="24"/>
  <c r="J6" i="24"/>
  <c r="I66" i="13"/>
  <c r="I65" i="13"/>
  <c r="I64" i="13"/>
  <c r="I63" i="13"/>
  <c r="I62" i="13"/>
  <c r="I61" i="13"/>
  <c r="P60" i="13"/>
  <c r="P61" i="13" s="1"/>
  <c r="P62" i="13" s="1"/>
  <c r="P63" i="13" s="1"/>
  <c r="P64" i="13" s="1"/>
  <c r="P65" i="13" s="1"/>
  <c r="P66" i="13" s="1"/>
  <c r="P67" i="13" s="1"/>
  <c r="P68" i="13" s="1"/>
  <c r="I60" i="13"/>
  <c r="P59" i="13"/>
  <c r="I59" i="13"/>
  <c r="S58" i="13"/>
  <c r="P58" i="13"/>
  <c r="I58" i="13"/>
  <c r="S57" i="13"/>
  <c r="L57" i="13"/>
  <c r="I57" i="13"/>
  <c r="O48" i="13"/>
  <c r="R37" i="13" s="1"/>
  <c r="I47" i="13"/>
  <c r="O45" i="13"/>
  <c r="O46" i="13" s="1"/>
  <c r="O47" i="13" s="1"/>
  <c r="O43" i="13"/>
  <c r="O44" i="13" s="1"/>
  <c r="I41" i="13"/>
  <c r="O39" i="13"/>
  <c r="O40" i="13" s="1"/>
  <c r="O41" i="13" s="1"/>
  <c r="O42" i="13" s="1"/>
  <c r="O38" i="13"/>
  <c r="O37" i="13"/>
  <c r="K37" i="13"/>
  <c r="I37" i="13"/>
  <c r="R36" i="13"/>
  <c r="K36" i="13"/>
  <c r="I36" i="13"/>
  <c r="D36" i="13"/>
  <c r="I42" i="13" s="1"/>
  <c r="J26" i="13"/>
  <c r="J24" i="13"/>
  <c r="J22" i="13"/>
  <c r="J20" i="13"/>
  <c r="P18" i="13"/>
  <c r="P17" i="13"/>
  <c r="J17" i="13"/>
  <c r="S16" i="13"/>
  <c r="L16" i="13"/>
  <c r="C13" i="13"/>
  <c r="C14" i="13" s="1"/>
  <c r="I8" i="13"/>
  <c r="P6" i="13"/>
  <c r="Q6" i="13" s="1"/>
  <c r="R6" i="13" s="1"/>
  <c r="S6" i="13" s="1"/>
  <c r="T6" i="13" s="1"/>
  <c r="K6" i="13"/>
  <c r="L6" i="13" s="1"/>
  <c r="M6" i="13" s="1"/>
  <c r="N6" i="13" s="1"/>
  <c r="O6" i="13" s="1"/>
  <c r="J6" i="13"/>
  <c r="F4" i="13"/>
  <c r="J23" i="13" s="1"/>
  <c r="K84" i="21"/>
  <c r="M80" i="21"/>
  <c r="M72" i="21"/>
  <c r="AA71" i="21"/>
  <c r="AA72" i="21" s="1"/>
  <c r="AA73" i="21" s="1"/>
  <c r="AA68" i="21"/>
  <c r="AA69" i="21" s="1"/>
  <c r="AA70" i="21" s="1"/>
  <c r="AA67" i="21"/>
  <c r="M64" i="21"/>
  <c r="AA63" i="21"/>
  <c r="AA64" i="21" s="1"/>
  <c r="AA65" i="21" s="1"/>
  <c r="AA66" i="21" s="1"/>
  <c r="K57" i="21"/>
  <c r="M53" i="21"/>
  <c r="K53" i="21"/>
  <c r="AA48" i="21"/>
  <c r="AA49" i="21" s="1"/>
  <c r="AA47" i="21"/>
  <c r="M46" i="21"/>
  <c r="K46" i="21"/>
  <c r="AA45" i="21"/>
  <c r="AA46" i="21" s="1"/>
  <c r="AA43" i="21"/>
  <c r="AA44" i="21" s="1"/>
  <c r="AA40" i="21"/>
  <c r="AA41" i="21" s="1"/>
  <c r="AA42" i="21" s="1"/>
  <c r="AA39" i="21"/>
  <c r="M39" i="21"/>
  <c r="K39" i="21"/>
  <c r="K33" i="21"/>
  <c r="M29" i="21"/>
  <c r="AA24" i="21"/>
  <c r="AA25" i="21" s="1"/>
  <c r="AA23" i="21"/>
  <c r="M22" i="21"/>
  <c r="K22" i="21"/>
  <c r="AA19" i="21"/>
  <c r="AA20" i="21" s="1"/>
  <c r="AA21" i="21" s="1"/>
  <c r="AA22" i="21" s="1"/>
  <c r="AA16" i="21"/>
  <c r="AA17" i="21" s="1"/>
  <c r="AA18" i="21" s="1"/>
  <c r="AA15" i="21"/>
  <c r="M15" i="21"/>
  <c r="K15" i="21"/>
  <c r="K8" i="21"/>
  <c r="P6" i="21"/>
  <c r="Q6" i="21" s="1"/>
  <c r="R6" i="21" s="1"/>
  <c r="S6" i="21" s="1"/>
  <c r="T6" i="21" s="1"/>
  <c r="U6" i="21" s="1"/>
  <c r="V6" i="21" s="1"/>
  <c r="M6" i="21"/>
  <c r="N6" i="21" s="1"/>
  <c r="O6" i="21" s="1"/>
  <c r="L6" i="21"/>
  <c r="W4" i="21" a="1"/>
  <c r="W4" i="21" s="1"/>
  <c r="G4" i="21"/>
  <c r="G3" i="21"/>
  <c r="G5" i="21" s="1"/>
  <c r="K23" i="21" s="1"/>
  <c r="K81" i="20"/>
  <c r="M75" i="20"/>
  <c r="AA70" i="20"/>
  <c r="AA71" i="20" s="1"/>
  <c r="AA72" i="20" s="1"/>
  <c r="AA73" i="20" s="1"/>
  <c r="AA69" i="20"/>
  <c r="AA64" i="20"/>
  <c r="AA65" i="20" s="1"/>
  <c r="AA66" i="20" s="1"/>
  <c r="AA67" i="20" s="1"/>
  <c r="AA68" i="20" s="1"/>
  <c r="M64" i="20"/>
  <c r="AA63" i="20"/>
  <c r="K57" i="20"/>
  <c r="K55" i="20"/>
  <c r="AA49" i="20"/>
  <c r="AA48" i="20"/>
  <c r="M47" i="20"/>
  <c r="K47" i="20"/>
  <c r="AA44" i="20"/>
  <c r="AA45" i="20" s="1"/>
  <c r="AA46" i="20" s="1"/>
  <c r="AA47" i="20" s="1"/>
  <c r="AA40" i="20"/>
  <c r="AA41" i="20" s="1"/>
  <c r="AA42" i="20" s="1"/>
  <c r="AA43" i="20" s="1"/>
  <c r="AA39" i="20"/>
  <c r="M39" i="20"/>
  <c r="K39" i="20"/>
  <c r="K31" i="20"/>
  <c r="AA25" i="20"/>
  <c r="M25" i="20"/>
  <c r="K25" i="20"/>
  <c r="AA21" i="20"/>
  <c r="AA22" i="20" s="1"/>
  <c r="AA23" i="20" s="1"/>
  <c r="AA24" i="20" s="1"/>
  <c r="AA15" i="20"/>
  <c r="AA16" i="20" s="1"/>
  <c r="AA17" i="20" s="1"/>
  <c r="AA18" i="20" s="1"/>
  <c r="AA19" i="20" s="1"/>
  <c r="AA20" i="20" s="1"/>
  <c r="M15" i="20"/>
  <c r="K15" i="20"/>
  <c r="K8" i="20"/>
  <c r="N6" i="20"/>
  <c r="O6" i="20" s="1"/>
  <c r="P6" i="20" s="1"/>
  <c r="Q6" i="20" s="1"/>
  <c r="R6" i="20" s="1"/>
  <c r="S6" i="20" s="1"/>
  <c r="T6" i="20" s="1"/>
  <c r="U6" i="20" s="1"/>
  <c r="V6" i="20" s="1"/>
  <c r="M6" i="20"/>
  <c r="L6" i="20"/>
  <c r="W4" i="20" a="1"/>
  <c r="W4" i="20" s="1"/>
  <c r="G4" i="20"/>
  <c r="G3" i="20"/>
  <c r="G5" i="20" s="1"/>
  <c r="K81" i="19"/>
  <c r="J78" i="19"/>
  <c r="K78" i="19" s="1"/>
  <c r="M75" i="19"/>
  <c r="AA71" i="19"/>
  <c r="AA72" i="19" s="1"/>
  <c r="AA73" i="19" s="1"/>
  <c r="AA70" i="19"/>
  <c r="AA69" i="19"/>
  <c r="J65" i="19"/>
  <c r="M64" i="19"/>
  <c r="AA63" i="19"/>
  <c r="AA64" i="19" s="1"/>
  <c r="AA65" i="19" s="1"/>
  <c r="AA66" i="19" s="1"/>
  <c r="AA67" i="19" s="1"/>
  <c r="AA68" i="19" s="1"/>
  <c r="K54" i="19"/>
  <c r="K49" i="19"/>
  <c r="M47" i="19"/>
  <c r="K47" i="19"/>
  <c r="AA45" i="19"/>
  <c r="AA46" i="19" s="1"/>
  <c r="AA47" i="19" s="1"/>
  <c r="AA48" i="19" s="1"/>
  <c r="AA49" i="19" s="1"/>
  <c r="AA44" i="19"/>
  <c r="AA42" i="19"/>
  <c r="AA43" i="19" s="1"/>
  <c r="AA41" i="19"/>
  <c r="K41" i="19"/>
  <c r="AA40" i="19"/>
  <c r="AA39" i="19"/>
  <c r="M39" i="19"/>
  <c r="K39" i="19"/>
  <c r="K31" i="19"/>
  <c r="K27" i="19"/>
  <c r="M26" i="19"/>
  <c r="K26" i="19"/>
  <c r="AA22" i="19"/>
  <c r="AA23" i="19" s="1"/>
  <c r="AA24" i="19" s="1"/>
  <c r="AA25" i="19" s="1"/>
  <c r="AA20" i="19"/>
  <c r="AA21" i="19" s="1"/>
  <c r="AA17" i="19"/>
  <c r="AA18" i="19" s="1"/>
  <c r="AA19" i="19" s="1"/>
  <c r="AA16" i="19"/>
  <c r="K16" i="19"/>
  <c r="AA15" i="19"/>
  <c r="M15" i="19"/>
  <c r="K15" i="19"/>
  <c r="K8" i="19"/>
  <c r="L6" i="19"/>
  <c r="G5" i="19"/>
  <c r="P75" i="19" s="1"/>
  <c r="W4" i="19" a="1"/>
  <c r="W4" i="19"/>
  <c r="G4" i="19"/>
  <c r="G6" i="19" s="1"/>
  <c r="G3" i="19"/>
  <c r="K84" i="18"/>
  <c r="J81" i="18"/>
  <c r="M80" i="18"/>
  <c r="AA72" i="18"/>
  <c r="AA73" i="18" s="1"/>
  <c r="P72" i="18"/>
  <c r="M72" i="18"/>
  <c r="AA71" i="18"/>
  <c r="AA67" i="18"/>
  <c r="AA68" i="18" s="1"/>
  <c r="AA69" i="18" s="1"/>
  <c r="AA70" i="18" s="1"/>
  <c r="J66" i="18"/>
  <c r="AA64" i="18"/>
  <c r="AA65" i="18" s="1"/>
  <c r="AA66" i="18" s="1"/>
  <c r="M64" i="18"/>
  <c r="AA63" i="18"/>
  <c r="K57" i="18"/>
  <c r="M53" i="18"/>
  <c r="K53" i="18"/>
  <c r="K49" i="18"/>
  <c r="AA48" i="18"/>
  <c r="AA49" i="18" s="1"/>
  <c r="AA47" i="18"/>
  <c r="M46" i="18"/>
  <c r="K46" i="18"/>
  <c r="AA43" i="18"/>
  <c r="AA44" i="18" s="1"/>
  <c r="AA45" i="18" s="1"/>
  <c r="AA46" i="18" s="1"/>
  <c r="AA41" i="18"/>
  <c r="AA42" i="18" s="1"/>
  <c r="AA40" i="18"/>
  <c r="AA39" i="18"/>
  <c r="M39" i="18"/>
  <c r="K39" i="18"/>
  <c r="K33" i="18"/>
  <c r="M31" i="18"/>
  <c r="AA25" i="18"/>
  <c r="K24" i="18"/>
  <c r="M23" i="18"/>
  <c r="K23" i="18"/>
  <c r="AA20" i="18"/>
  <c r="AA21" i="18" s="1"/>
  <c r="AA22" i="18" s="1"/>
  <c r="AA23" i="18" s="1"/>
  <c r="AA24" i="18" s="1"/>
  <c r="AA19" i="18"/>
  <c r="K19" i="18"/>
  <c r="AA16" i="18"/>
  <c r="AA17" i="18" s="1"/>
  <c r="AA18" i="18" s="1"/>
  <c r="AA15" i="18"/>
  <c r="M15" i="18"/>
  <c r="K15" i="18"/>
  <c r="K8" i="18"/>
  <c r="M6" i="18"/>
  <c r="N6" i="18" s="1"/>
  <c r="O6" i="18" s="1"/>
  <c r="P6" i="18" s="1"/>
  <c r="Q6" i="18" s="1"/>
  <c r="R6" i="18" s="1"/>
  <c r="S6" i="18" s="1"/>
  <c r="T6" i="18" s="1"/>
  <c r="U6" i="18" s="1"/>
  <c r="V6" i="18" s="1"/>
  <c r="L6" i="18"/>
  <c r="W4" i="18" a="1"/>
  <c r="W4" i="18"/>
  <c r="G4" i="18"/>
  <c r="G3" i="18"/>
  <c r="G5" i="18" s="1"/>
  <c r="R60" i="4"/>
  <c r="S60" i="4" s="1"/>
  <c r="T60" i="4" s="1"/>
  <c r="U60" i="4" s="1"/>
  <c r="V60" i="4" s="1"/>
  <c r="W60" i="4" s="1"/>
  <c r="X60" i="4" s="1"/>
  <c r="Y60" i="4" s="1"/>
  <c r="Q60" i="4"/>
  <c r="P60" i="4"/>
  <c r="O60" i="4"/>
  <c r="P53" i="4"/>
  <c r="Q53" i="4" s="1"/>
  <c r="R53" i="4" s="1"/>
  <c r="S53" i="4" s="1"/>
  <c r="T53" i="4" s="1"/>
  <c r="U53" i="4" s="1"/>
  <c r="V53" i="4" s="1"/>
  <c r="W53" i="4" s="1"/>
  <c r="X53" i="4" s="1"/>
  <c r="Y53" i="4" s="1"/>
  <c r="O53" i="4"/>
  <c r="P46" i="4"/>
  <c r="Q46" i="4" s="1"/>
  <c r="R46" i="4" s="1"/>
  <c r="S46" i="4" s="1"/>
  <c r="T46" i="4" s="1"/>
  <c r="O46" i="4"/>
  <c r="O39" i="4"/>
  <c r="P39" i="4" s="1"/>
  <c r="Q39" i="4" s="1"/>
  <c r="R39" i="4" s="1"/>
  <c r="S39" i="4" s="1"/>
  <c r="T39" i="4" s="1"/>
  <c r="U39" i="4" s="1"/>
  <c r="V39" i="4" s="1"/>
  <c r="W39" i="4" s="1"/>
  <c r="X39" i="4" s="1"/>
  <c r="Y39" i="4" s="1"/>
  <c r="AB34" i="4"/>
  <c r="Q32" i="4"/>
  <c r="R32" i="4" s="1"/>
  <c r="S32" i="4" s="1"/>
  <c r="T32" i="4" s="1"/>
  <c r="U32" i="4" s="1"/>
  <c r="V32" i="4" s="1"/>
  <c r="W32" i="4" s="1"/>
  <c r="X32" i="4" s="1"/>
  <c r="Y32" i="4" s="1"/>
  <c r="P32" i="4"/>
  <c r="O32" i="4"/>
  <c r="D26" i="4"/>
  <c r="R25" i="4"/>
  <c r="S25" i="4" s="1"/>
  <c r="T25" i="4" s="1"/>
  <c r="U25" i="4" s="1"/>
  <c r="V25" i="4" s="1"/>
  <c r="W25" i="4" s="1"/>
  <c r="X25" i="4" s="1"/>
  <c r="Y25" i="4" s="1"/>
  <c r="Q25" i="4"/>
  <c r="P25" i="4"/>
  <c r="O25" i="4"/>
  <c r="D22" i="4"/>
  <c r="D21" i="4"/>
  <c r="AE19" i="4"/>
  <c r="AE18" i="4"/>
  <c r="O18" i="4"/>
  <c r="P18" i="4" s="1"/>
  <c r="AE17" i="4"/>
  <c r="AE16" i="4"/>
  <c r="G16" i="4"/>
  <c r="D17" i="4" s="1"/>
  <c r="AE15" i="4"/>
  <c r="G15" i="4"/>
  <c r="D15" i="4"/>
  <c r="AE14" i="4"/>
  <c r="G14" i="4"/>
  <c r="AB20" i="4" s="1"/>
  <c r="AE13" i="4"/>
  <c r="AB13" i="4"/>
  <c r="G13" i="4"/>
  <c r="AB27" i="4" s="1"/>
  <c r="G12" i="4"/>
  <c r="G11" i="4"/>
  <c r="G10" i="4"/>
  <c r="G9" i="4"/>
  <c r="D24" i="4" s="1"/>
  <c r="G8" i="4"/>
  <c r="AB48" i="4" s="1"/>
  <c r="G7" i="4"/>
  <c r="G6" i="4"/>
  <c r="AB55" i="4" s="1"/>
  <c r="I4" i="4"/>
  <c r="D27" i="4" s="1"/>
  <c r="AK23" i="23"/>
  <c r="AK24" i="23" s="1"/>
  <c r="AK25" i="23" s="1"/>
  <c r="AB23" i="23"/>
  <c r="AB24" i="23" s="1"/>
  <c r="W23" i="23"/>
  <c r="I23" i="23"/>
  <c r="AB22" i="23"/>
  <c r="W22" i="23"/>
  <c r="I22" i="23"/>
  <c r="W21" i="23"/>
  <c r="N21" i="23"/>
  <c r="N22" i="23" s="1"/>
  <c r="N23" i="23" s="1"/>
  <c r="N24" i="23" s="1"/>
  <c r="I21" i="23"/>
  <c r="W18" i="23"/>
  <c r="W17" i="23"/>
  <c r="I17" i="23"/>
  <c r="W16" i="23"/>
  <c r="I16" i="23"/>
  <c r="D16" i="23"/>
  <c r="AQ15" i="23"/>
  <c r="W15" i="23"/>
  <c r="I15" i="23"/>
  <c r="AQ14" i="23"/>
  <c r="AB14" i="23"/>
  <c r="AB15" i="23" s="1"/>
  <c r="AB16" i="23" s="1"/>
  <c r="AB17" i="23" s="1"/>
  <c r="AB18" i="23" s="1"/>
  <c r="AB19" i="23" s="1"/>
  <c r="AB20" i="23" s="1"/>
  <c r="AB21" i="23" s="1"/>
  <c r="W14" i="23"/>
  <c r="N14" i="23"/>
  <c r="N15" i="23" s="1"/>
  <c r="N16" i="23" s="1"/>
  <c r="N17" i="23" s="1"/>
  <c r="N18" i="23" s="1"/>
  <c r="N19" i="23" s="1"/>
  <c r="N20" i="23" s="1"/>
  <c r="I14" i="23"/>
  <c r="AQ13" i="23"/>
  <c r="AK13" i="23"/>
  <c r="AK14" i="23" s="1"/>
  <c r="AK15" i="23" s="1"/>
  <c r="AK16" i="23" s="1"/>
  <c r="AK17" i="23" s="1"/>
  <c r="AK18" i="23" s="1"/>
  <c r="AE13" i="23"/>
  <c r="W13" i="23"/>
  <c r="Q13" i="23"/>
  <c r="I13" i="23"/>
  <c r="C13" i="23"/>
  <c r="C18" i="23" s="1"/>
  <c r="AK12" i="23"/>
  <c r="W12" i="23"/>
  <c r="I12" i="23"/>
  <c r="AM11" i="23"/>
  <c r="AA11" i="23"/>
  <c r="W11" i="23"/>
  <c r="O11" i="23"/>
  <c r="I11" i="23"/>
  <c r="AM10" i="23"/>
  <c r="AA10" i="23"/>
  <c r="W10" i="23"/>
  <c r="O10" i="23"/>
  <c r="I6" i="23"/>
  <c r="J6" i="23" s="1"/>
  <c r="K6" i="23" s="1"/>
  <c r="L6" i="23" s="1"/>
  <c r="M6" i="23" s="1"/>
  <c r="N6" i="23" s="1"/>
  <c r="O6" i="23" s="1"/>
  <c r="P6" i="23" s="1"/>
  <c r="Q6" i="23" s="1"/>
  <c r="R6" i="23" s="1"/>
  <c r="S6" i="23" s="1"/>
  <c r="V2" i="23"/>
  <c r="AB29" i="4" l="1"/>
  <c r="J79" i="20"/>
  <c r="K52" i="20"/>
  <c r="P47" i="20"/>
  <c r="K43" i="20"/>
  <c r="P39" i="20"/>
  <c r="K58" i="20" s="1"/>
  <c r="K59" i="20" s="1"/>
  <c r="K27" i="20"/>
  <c r="K18" i="20"/>
  <c r="J76" i="20"/>
  <c r="J70" i="20"/>
  <c r="K70" i="20" s="1"/>
  <c r="J67" i="20"/>
  <c r="P25" i="20"/>
  <c r="P75" i="20"/>
  <c r="K49" i="20"/>
  <c r="K41" i="20"/>
  <c r="J69" i="20"/>
  <c r="K69" i="20" s="1"/>
  <c r="K48" i="20"/>
  <c r="K44" i="20"/>
  <c r="K40" i="20"/>
  <c r="K29" i="20"/>
  <c r="K19" i="20"/>
  <c r="P15" i="20"/>
  <c r="K32" i="20" s="1"/>
  <c r="J65" i="20"/>
  <c r="K28" i="20"/>
  <c r="P64" i="20"/>
  <c r="K82" i="20" s="1"/>
  <c r="K83" i="20" s="1"/>
  <c r="K21" i="20"/>
  <c r="K20" i="20"/>
  <c r="K9" i="20" a="1"/>
  <c r="K9" i="20" s="1"/>
  <c r="K10" i="20" s="1"/>
  <c r="J68" i="20"/>
  <c r="K68" i="20" s="1"/>
  <c r="K26" i="20"/>
  <c r="J78" i="20"/>
  <c r="K17" i="20"/>
  <c r="J77" i="20"/>
  <c r="J66" i="20"/>
  <c r="K51" i="20"/>
  <c r="K42" i="20"/>
  <c r="K16" i="20"/>
  <c r="K50" i="20"/>
  <c r="Q18" i="4"/>
  <c r="R18" i="4" s="1"/>
  <c r="S18" i="4" s="1"/>
  <c r="T18" i="4" s="1"/>
  <c r="U18" i="4" s="1"/>
  <c r="V18" i="4" s="1"/>
  <c r="W18" i="4" s="1"/>
  <c r="X18" i="4" s="1"/>
  <c r="Y18" i="4" s="1"/>
  <c r="AB14" i="4"/>
  <c r="AB15" i="4" s="1"/>
  <c r="U46" i="4"/>
  <c r="V46" i="4" s="1"/>
  <c r="W46" i="4" s="1"/>
  <c r="X46" i="4" s="1"/>
  <c r="Y46" i="4" s="1"/>
  <c r="J75" i="18"/>
  <c r="K75" i="18" s="1"/>
  <c r="K50" i="18"/>
  <c r="P46" i="18"/>
  <c r="K42" i="18"/>
  <c r="J76" i="18"/>
  <c r="K76" i="18" s="1"/>
  <c r="K47" i="18"/>
  <c r="K43" i="18"/>
  <c r="P39" i="18"/>
  <c r="K27" i="18"/>
  <c r="J67" i="18"/>
  <c r="K67" i="18" s="1"/>
  <c r="K26" i="18"/>
  <c r="K18" i="18"/>
  <c r="P15" i="18"/>
  <c r="K25" i="18"/>
  <c r="D18" i="4"/>
  <c r="D19" i="4"/>
  <c r="G6" i="18"/>
  <c r="P64" i="18"/>
  <c r="J74" i="18"/>
  <c r="K43" i="19"/>
  <c r="J67" i="19"/>
  <c r="G6" i="20"/>
  <c r="P29" i="21"/>
  <c r="P57" i="24"/>
  <c r="P58" i="24" s="1"/>
  <c r="P59" i="24" s="1"/>
  <c r="P60" i="24" s="1"/>
  <c r="AE14" i="23"/>
  <c r="AE15" i="23" s="1"/>
  <c r="K43" i="21"/>
  <c r="AB49" i="4"/>
  <c r="AB50" i="4" s="1"/>
  <c r="AB56" i="4"/>
  <c r="AB57" i="4" s="1"/>
  <c r="AB28" i="4"/>
  <c r="K16" i="18"/>
  <c r="K28" i="18"/>
  <c r="K40" i="18"/>
  <c r="P53" i="18"/>
  <c r="K51" i="19"/>
  <c r="K55" i="21"/>
  <c r="P21" i="26"/>
  <c r="P26" i="26"/>
  <c r="S15" i="26" s="1"/>
  <c r="M7" i="5"/>
  <c r="N7" i="5" s="1"/>
  <c r="O7" i="5" s="1"/>
  <c r="P7" i="5" s="1"/>
  <c r="Q7" i="5" s="1"/>
  <c r="R7" i="5" s="1"/>
  <c r="S7" i="5" s="1"/>
  <c r="T7" i="5" s="1"/>
  <c r="K54" i="18"/>
  <c r="P39" i="19"/>
  <c r="K52" i="19"/>
  <c r="P15" i="21"/>
  <c r="K9" i="18"/>
  <c r="Q14" i="23"/>
  <c r="Q15" i="23" s="1"/>
  <c r="J65" i="18"/>
  <c r="K28" i="19"/>
  <c r="J77" i="19"/>
  <c r="J71" i="19"/>
  <c r="K71" i="19" s="1"/>
  <c r="J68" i="19"/>
  <c r="P64" i="19"/>
  <c r="K82" i="19" s="1"/>
  <c r="K83" i="19" s="1"/>
  <c r="K50" i="19"/>
  <c r="K42" i="19"/>
  <c r="K21" i="19"/>
  <c r="K17" i="19"/>
  <c r="J70" i="19"/>
  <c r="K70" i="19" s="1"/>
  <c r="J66" i="19"/>
  <c r="K48" i="19"/>
  <c r="K44" i="19"/>
  <c r="K40" i="19"/>
  <c r="K29" i="19"/>
  <c r="K19" i="19"/>
  <c r="P15" i="19"/>
  <c r="K18" i="19"/>
  <c r="V3" i="23"/>
  <c r="V4" i="23" s="1"/>
  <c r="D16" i="4"/>
  <c r="AB21" i="4"/>
  <c r="AB22" i="4" s="1"/>
  <c r="AB35" i="4"/>
  <c r="AB36" i="4" s="1"/>
  <c r="AB41" i="4"/>
  <c r="K10" i="18"/>
  <c r="K17" i="18"/>
  <c r="P23" i="18"/>
  <c r="K41" i="18"/>
  <c r="K48" i="18"/>
  <c r="K55" i="18"/>
  <c r="P80" i="18"/>
  <c r="K20" i="19"/>
  <c r="P26" i="19"/>
  <c r="J69" i="19"/>
  <c r="K69" i="19" s="1"/>
  <c r="J76" i="19"/>
  <c r="K33" i="20"/>
  <c r="P19" i="13"/>
  <c r="P20" i="13" s="1"/>
  <c r="P21" i="13" s="1"/>
  <c r="P22" i="13" s="1"/>
  <c r="P23" i="13" s="1"/>
  <c r="P24" i="13" s="1"/>
  <c r="P25" i="13" s="1"/>
  <c r="P26" i="13" s="1"/>
  <c r="P27" i="13" s="1"/>
  <c r="R38" i="13"/>
  <c r="R16" i="6"/>
  <c r="Z11" i="8"/>
  <c r="AI8" i="8"/>
  <c r="AJ8" i="8" s="1"/>
  <c r="AK8" i="8" s="1"/>
  <c r="J82" i="21"/>
  <c r="J74" i="21"/>
  <c r="J66" i="21"/>
  <c r="J81" i="21"/>
  <c r="K49" i="21"/>
  <c r="K41" i="21"/>
  <c r="P80" i="21"/>
  <c r="J68" i="21"/>
  <c r="K68" i="21" s="1"/>
  <c r="K54" i="21"/>
  <c r="K48" i="21"/>
  <c r="K40" i="21"/>
  <c r="K31" i="21"/>
  <c r="K24" i="21"/>
  <c r="K16" i="21"/>
  <c r="P72" i="21"/>
  <c r="P64" i="21"/>
  <c r="K85" i="21" s="1"/>
  <c r="K86" i="21" s="1"/>
  <c r="P53" i="21"/>
  <c r="K30" i="21"/>
  <c r="J67" i="21"/>
  <c r="K67" i="21" s="1"/>
  <c r="J75" i="21"/>
  <c r="K75" i="21" s="1"/>
  <c r="K50" i="21"/>
  <c r="P46" i="21"/>
  <c r="K42" i="21"/>
  <c r="K26" i="21"/>
  <c r="P22" i="21"/>
  <c r="K18" i="21"/>
  <c r="G6" i="21"/>
  <c r="P39" i="21"/>
  <c r="K47" i="21"/>
  <c r="J73" i="21"/>
  <c r="J65" i="21"/>
  <c r="K17" i="21"/>
  <c r="J76" i="21"/>
  <c r="K76" i="21" s="1"/>
  <c r="P44" i="26"/>
  <c r="P46" i="26" s="1"/>
  <c r="S36" i="26" s="1"/>
  <c r="S37" i="26" s="1"/>
  <c r="D23" i="4"/>
  <c r="K20" i="18"/>
  <c r="J68" i="18"/>
  <c r="K68" i="18" s="1"/>
  <c r="J73" i="18"/>
  <c r="K22" i="19"/>
  <c r="P47" i="19"/>
  <c r="K19" i="21"/>
  <c r="K25" i="21"/>
  <c r="P26" i="24"/>
  <c r="S15" i="24" s="1"/>
  <c r="S16" i="24" s="1"/>
  <c r="P16" i="24"/>
  <c r="P17" i="24" s="1"/>
  <c r="P18" i="24" s="1"/>
  <c r="P19" i="24" s="1"/>
  <c r="P20" i="24" s="1"/>
  <c r="Q19" i="29"/>
  <c r="Q20" i="29" s="1"/>
  <c r="Q26" i="29"/>
  <c r="T15" i="29" s="1"/>
  <c r="D25" i="4"/>
  <c r="K9" i="21" a="1"/>
  <c r="K9" i="21" s="1"/>
  <c r="K10" i="21" s="1"/>
  <c r="D20" i="4"/>
  <c r="M6" i="19"/>
  <c r="N6" i="19" s="1"/>
  <c r="O6" i="19" s="1"/>
  <c r="P6" i="19" s="1"/>
  <c r="Q6" i="19" s="1"/>
  <c r="R6" i="19" s="1"/>
  <c r="S6" i="19" s="1"/>
  <c r="T6" i="19" s="1"/>
  <c r="U6" i="19" s="1"/>
  <c r="V6" i="19" s="1"/>
  <c r="I9" i="13"/>
  <c r="I10" i="13" s="1"/>
  <c r="J21" i="13"/>
  <c r="J25" i="13"/>
  <c r="I18" i="24"/>
  <c r="S16" i="26"/>
  <c r="I25" i="26"/>
  <c r="I20" i="26"/>
  <c r="I27" i="26"/>
  <c r="I18" i="26"/>
  <c r="P63" i="26"/>
  <c r="S53" i="26" s="1"/>
  <c r="I15" i="29"/>
  <c r="I19" i="29"/>
  <c r="I25" i="29"/>
  <c r="V3" i="6"/>
  <c r="V4" i="6" s="1"/>
  <c r="D28" i="8"/>
  <c r="AI22" i="8"/>
  <c r="AI23" i="8" s="1"/>
  <c r="J18" i="13"/>
  <c r="I39" i="13"/>
  <c r="I43" i="13"/>
  <c r="I48" i="13"/>
  <c r="P69" i="13"/>
  <c r="P63" i="29"/>
  <c r="S53" i="29" s="1"/>
  <c r="X65" i="15"/>
  <c r="X66" i="15" s="1"/>
  <c r="S54" i="29"/>
  <c r="U72" i="16"/>
  <c r="U73" i="16" s="1"/>
  <c r="U74" i="16" s="1"/>
  <c r="U75" i="16" s="1"/>
  <c r="X71" i="16"/>
  <c r="X72" i="16" s="1"/>
  <c r="H8" i="25"/>
  <c r="I8" i="25" s="1"/>
  <c r="J8" i="25" s="1"/>
  <c r="K8" i="25" s="1"/>
  <c r="L8" i="25" s="1"/>
  <c r="M8" i="25" s="1"/>
  <c r="N8" i="25" s="1"/>
  <c r="O8" i="25" s="1"/>
  <c r="P8" i="25" s="1"/>
  <c r="Q8" i="25" s="1"/>
  <c r="T5" i="25"/>
  <c r="T6" i="25" s="1"/>
  <c r="I40" i="13"/>
  <c r="I44" i="13"/>
  <c r="I49" i="13"/>
  <c r="K6" i="24"/>
  <c r="L6" i="24" s="1"/>
  <c r="M6" i="24" s="1"/>
  <c r="N6" i="24" s="1"/>
  <c r="O6" i="24" s="1"/>
  <c r="P6" i="24" s="1"/>
  <c r="Q6" i="24" s="1"/>
  <c r="R6" i="24" s="1"/>
  <c r="S6" i="24" s="1"/>
  <c r="T6" i="24" s="1"/>
  <c r="P36" i="24"/>
  <c r="P37" i="24" s="1"/>
  <c r="P38" i="24" s="1"/>
  <c r="P39" i="24" s="1"/>
  <c r="I16" i="29"/>
  <c r="I27" i="29"/>
  <c r="J19" i="13"/>
  <c r="I50" i="13"/>
  <c r="H8" i="26"/>
  <c r="H9" i="26" s="1"/>
  <c r="I16" i="26"/>
  <c r="N18" i="14"/>
  <c r="Q17" i="14"/>
  <c r="Q18" i="14" s="1"/>
  <c r="V67" i="17"/>
  <c r="V68" i="17" s="1"/>
  <c r="N20" i="25"/>
  <c r="R15" i="6"/>
  <c r="V4" i="14"/>
  <c r="V5" i="14" s="1"/>
  <c r="S45" i="17"/>
  <c r="S46" i="17" s="1"/>
  <c r="S47" i="17" s="1"/>
  <c r="S48" i="17" s="1"/>
  <c r="S49" i="17" s="1"/>
  <c r="S50" i="17" s="1"/>
  <c r="S51" i="17" s="1"/>
  <c r="S52" i="17" s="1"/>
  <c r="S53" i="17" s="1"/>
  <c r="S54" i="17" s="1"/>
  <c r="I15" i="27"/>
  <c r="I38" i="13"/>
  <c r="S54" i="26"/>
  <c r="I24" i="29"/>
  <c r="I26" i="29"/>
  <c r="I18" i="29"/>
  <c r="H8" i="29"/>
  <c r="H9" i="29" s="1"/>
  <c r="P46" i="29"/>
  <c r="S36" i="29" s="1"/>
  <c r="S37" i="29" s="1"/>
  <c r="AB18" i="14"/>
  <c r="AE17" i="14"/>
  <c r="AE18" i="14" s="1"/>
  <c r="W27" i="15"/>
  <c r="W28" i="15" s="1"/>
  <c r="Z43" i="15"/>
  <c r="Z44" i="15" s="1"/>
  <c r="X13" i="28"/>
  <c r="S59" i="13"/>
  <c r="I25" i="24"/>
  <c r="I15" i="24"/>
  <c r="I27" i="24"/>
  <c r="I19" i="24"/>
  <c r="I16" i="24"/>
  <c r="T16" i="29"/>
  <c r="AF17" i="6"/>
  <c r="AF18" i="6" s="1"/>
  <c r="AA94" i="8"/>
  <c r="AA95" i="8" s="1"/>
  <c r="AA96" i="8" s="1"/>
  <c r="AA84" i="8"/>
  <c r="AA99" i="8"/>
  <c r="AA89" i="8"/>
  <c r="AA90" i="8" s="1"/>
  <c r="AA91" i="8" s="1"/>
  <c r="AK85" i="8"/>
  <c r="AK86" i="8" s="1"/>
  <c r="AA85" i="8"/>
  <c r="AA86" i="8" s="1"/>
  <c r="P12" i="15"/>
  <c r="J42" i="5"/>
  <c r="I18" i="6"/>
  <c r="I21" i="6"/>
  <c r="Z12" i="8"/>
  <c r="AA55" i="8"/>
  <c r="O80" i="16"/>
  <c r="O81" i="16" s="1"/>
  <c r="O82" i="16" s="1"/>
  <c r="O83" i="16" s="1"/>
  <c r="AL16" i="25"/>
  <c r="P11" i="15"/>
  <c r="I6" i="11"/>
  <c r="J8" i="11" s="1"/>
  <c r="AU12" i="11"/>
  <c r="AX18" i="11" s="1"/>
  <c r="AA25" i="11"/>
  <c r="AG23" i="11"/>
  <c r="AA19" i="11"/>
  <c r="AA17" i="11"/>
  <c r="AA27" i="11"/>
  <c r="P23" i="11"/>
  <c r="AL17" i="25"/>
  <c r="I29" i="25"/>
  <c r="E22" i="27"/>
  <c r="I27" i="27"/>
  <c r="I28" i="27" s="1"/>
  <c r="I20" i="27"/>
  <c r="X36" i="27"/>
  <c r="G5" i="28"/>
  <c r="H7" i="28" s="1"/>
  <c r="I7" i="28" s="1"/>
  <c r="J7" i="28" s="1"/>
  <c r="K7" i="28" s="1"/>
  <c r="L7" i="28" s="1"/>
  <c r="M7" i="28" s="1"/>
  <c r="N7" i="28" s="1"/>
  <c r="O7" i="28" s="1"/>
  <c r="P7" i="28" s="1"/>
  <c r="Q7" i="28" s="1"/>
  <c r="R7" i="28" s="1"/>
  <c r="F14" i="28"/>
  <c r="I24" i="28" s="1"/>
  <c r="AP8" i="28"/>
  <c r="U4" i="28"/>
  <c r="U5" i="28" s="1"/>
  <c r="AB8" i="28"/>
  <c r="X39" i="28" s="1"/>
  <c r="AA60" i="8"/>
  <c r="AA66" i="8"/>
  <c r="O34" i="16"/>
  <c r="O26" i="16"/>
  <c r="O24" i="16"/>
  <c r="M11" i="16"/>
  <c r="M12" i="16" s="1"/>
  <c r="O28" i="16"/>
  <c r="O25" i="16"/>
  <c r="O23" i="16"/>
  <c r="AR20" i="25"/>
  <c r="AR21" i="25" s="1"/>
  <c r="N17" i="27"/>
  <c r="X27" i="28"/>
  <c r="X41" i="28"/>
  <c r="X17" i="28"/>
  <c r="X38" i="28"/>
  <c r="X29" i="28"/>
  <c r="X32" i="28"/>
  <c r="X26" i="28"/>
  <c r="X36" i="28"/>
  <c r="X23" i="28"/>
  <c r="X20" i="28"/>
  <c r="X35" i="28"/>
  <c r="X30" i="28"/>
  <c r="AK56" i="8"/>
  <c r="AK57" i="8" s="1"/>
  <c r="Q119" i="15"/>
  <c r="Q112" i="15"/>
  <c r="Q113" i="15" s="1"/>
  <c r="Q114" i="15" s="1"/>
  <c r="X114" i="15"/>
  <c r="X115" i="15" s="1"/>
  <c r="Q105" i="15"/>
  <c r="Q106" i="15" s="1"/>
  <c r="Q107" i="15" s="1"/>
  <c r="X24" i="16"/>
  <c r="X25" i="16" s="1"/>
  <c r="O35" i="16"/>
  <c r="K24" i="11"/>
  <c r="X44" i="25"/>
  <c r="X20" i="25"/>
  <c r="X15" i="25"/>
  <c r="AL21" i="25"/>
  <c r="AL27" i="25"/>
  <c r="U4" i="27"/>
  <c r="U5" i="27" s="1"/>
  <c r="X30" i="27"/>
  <c r="X42" i="27"/>
  <c r="AL25" i="25"/>
  <c r="AL20" i="25"/>
  <c r="AL28" i="25"/>
  <c r="AL26" i="25"/>
  <c r="AL18" i="25"/>
  <c r="X47" i="16"/>
  <c r="X48" i="16" s="1"/>
  <c r="K10" i="17"/>
  <c r="K11" i="17" s="1"/>
  <c r="K35" i="11"/>
  <c r="K33" i="11"/>
  <c r="K26" i="11"/>
  <c r="K34" i="11"/>
  <c r="AB12" i="11"/>
  <c r="AA22" i="11" s="1"/>
  <c r="K25" i="11"/>
  <c r="K28" i="11"/>
  <c r="I17" i="25"/>
  <c r="I15" i="25"/>
  <c r="I16" i="25"/>
  <c r="N21" i="25"/>
  <c r="X33" i="27"/>
  <c r="F14" i="27"/>
  <c r="I14" i="27" s="1"/>
  <c r="X21" i="27"/>
  <c r="AA72" i="8"/>
  <c r="AA57" i="8"/>
  <c r="AA67" i="8"/>
  <c r="AA56" i="8"/>
  <c r="P24" i="11"/>
  <c r="AL19" i="25"/>
  <c r="AQ8" i="27"/>
  <c r="I25" i="28"/>
  <c r="Q27" i="15"/>
  <c r="Q35" i="15"/>
  <c r="Q42" i="15"/>
  <c r="O48" i="16"/>
  <c r="V22" i="17"/>
  <c r="V23" i="17" s="1"/>
  <c r="M30" i="17"/>
  <c r="M49" i="17"/>
  <c r="M53" i="17"/>
  <c r="X18" i="27"/>
  <c r="X39" i="27"/>
  <c r="N18" i="28"/>
  <c r="I25" i="25"/>
  <c r="X13" i="27"/>
  <c r="AD18" i="27"/>
  <c r="AD20" i="27" s="1"/>
  <c r="X24" i="27"/>
  <c r="X41" i="27"/>
  <c r="I19" i="28"/>
  <c r="M21" i="17"/>
  <c r="X19" i="25"/>
  <c r="X29" i="25"/>
  <c r="X12" i="27"/>
  <c r="X17" i="27"/>
  <c r="X18" i="28" l="1"/>
  <c r="I16" i="28"/>
  <c r="X21" i="28"/>
  <c r="K8" i="11"/>
  <c r="L8" i="11" s="1"/>
  <c r="M8" i="11" s="1"/>
  <c r="N8" i="11" s="1"/>
  <c r="O8" i="11" s="1"/>
  <c r="P8" i="11" s="1"/>
  <c r="Q8" i="11" s="1"/>
  <c r="R8" i="11" s="1"/>
  <c r="S8" i="11" s="1"/>
  <c r="T8" i="11" s="1"/>
  <c r="I13" i="27"/>
  <c r="Z74" i="15"/>
  <c r="Z75" i="15" s="1"/>
  <c r="P28" i="13"/>
  <c r="S17" i="13" s="1"/>
  <c r="S18" i="13" s="1"/>
  <c r="K34" i="21"/>
  <c r="K35" i="21" s="1"/>
  <c r="K58" i="18"/>
  <c r="K59" i="18" s="1"/>
  <c r="K9" i="19" a="1"/>
  <c r="K9" i="19" s="1"/>
  <c r="K10" i="19" s="1"/>
  <c r="I23" i="28"/>
  <c r="I14" i="28"/>
  <c r="I16" i="27"/>
  <c r="K55" i="19"/>
  <c r="K56" i="19" s="1"/>
  <c r="X42" i="28"/>
  <c r="AM22" i="28"/>
  <c r="AM15" i="28"/>
  <c r="AM29" i="28"/>
  <c r="AU15" i="28"/>
  <c r="AU16" i="28" s="1"/>
  <c r="AG25" i="11"/>
  <c r="I8" i="24"/>
  <c r="I9" i="24" s="1"/>
  <c r="K32" i="19"/>
  <c r="K33" i="19" s="1"/>
  <c r="K34" i="18"/>
  <c r="K35" i="18" s="1"/>
  <c r="AB42" i="4"/>
  <c r="N19" i="28"/>
  <c r="N20" i="28" s="1"/>
  <c r="I15" i="28"/>
  <c r="E23" i="27"/>
  <c r="E24" i="27" s="1"/>
  <c r="N18" i="27"/>
  <c r="AG24" i="11"/>
  <c r="AA24" i="11"/>
  <c r="AR12" i="11"/>
  <c r="AA29" i="11"/>
  <c r="X24" i="28"/>
  <c r="AA30" i="11"/>
  <c r="V46" i="17"/>
  <c r="V47" i="17" s="1"/>
  <c r="P46" i="24"/>
  <c r="S35" i="24" s="1"/>
  <c r="S36" i="24" s="1"/>
  <c r="AB43" i="4"/>
  <c r="W3" i="5"/>
  <c r="W4" i="5" s="1"/>
  <c r="P67" i="24"/>
  <c r="S56" i="24" s="1"/>
  <c r="S57" i="24" s="1"/>
  <c r="K85" i="18"/>
  <c r="K86" i="18" s="1"/>
  <c r="AT15" i="27"/>
  <c r="AT16" i="27" s="1"/>
  <c r="AL15" i="27"/>
  <c r="AL28" i="27"/>
  <c r="AL22" i="27"/>
  <c r="N19" i="27"/>
  <c r="I17" i="28"/>
  <c r="AA18" i="11"/>
  <c r="K58" i="21"/>
  <c r="K59" i="21" s="1"/>
  <c r="I13" i="28"/>
  <c r="X33" i="28"/>
  <c r="I18" i="28"/>
  <c r="I23" i="27"/>
  <c r="I21" i="27"/>
  <c r="I24" i="27"/>
  <c r="I22" i="27"/>
  <c r="AA23" i="11"/>
  <c r="AA28" i="11"/>
  <c r="I17" i="27"/>
  <c r="AL23" i="27" l="1"/>
  <c r="AL24" i="27"/>
  <c r="W4" i="11"/>
  <c r="W5" i="11" s="1"/>
  <c r="AL16" i="27"/>
  <c r="AM17" i="28"/>
  <c r="AM16" i="28"/>
  <c r="AM18" i="28" s="1"/>
  <c r="AL29" i="27"/>
  <c r="AL30" i="27"/>
  <c r="AP19" i="11"/>
  <c r="AP22" i="11" s="1"/>
  <c r="AP21" i="11"/>
  <c r="AP20" i="11"/>
  <c r="AP26" i="11"/>
  <c r="AP32" i="11"/>
  <c r="AP33" i="11" s="1"/>
  <c r="AX19" i="11"/>
  <c r="AX20" i="11" s="1"/>
  <c r="AM23" i="28"/>
  <c r="AP27" i="11" l="1"/>
  <c r="AP29" i="11"/>
  <c r="AP28" i="11"/>
  <c r="AM24" i="28"/>
  <c r="AM25" i="28" s="1"/>
  <c r="AM26" i="28" s="1"/>
  <c r="AL17" i="27"/>
  <c r="AL18" i="2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<sst xmlns="http://schemas.openxmlformats.org/spreadsheetml/2006/main" count="3573" uniqueCount="353">
  <si>
    <t>KURE</t>
  </si>
  <si>
    <t>ORDER</t>
  </si>
  <si>
    <t>FORECAST</t>
  </si>
  <si>
    <t>I</t>
  </si>
  <si>
    <t>C</t>
  </si>
  <si>
    <t>January</t>
  </si>
  <si>
    <t>H</t>
  </si>
  <si>
    <t>February</t>
  </si>
  <si>
    <t>K+800%</t>
  </si>
  <si>
    <t>March</t>
  </si>
  <si>
    <t>K+700%</t>
  </si>
  <si>
    <t>April</t>
  </si>
  <si>
    <t>K+650%</t>
  </si>
  <si>
    <t>May</t>
  </si>
  <si>
    <t>K+600%</t>
  </si>
  <si>
    <t>June</t>
  </si>
  <si>
    <t>K+500%</t>
  </si>
  <si>
    <t>July</t>
  </si>
  <si>
    <t>K+350%</t>
  </si>
  <si>
    <t>August</t>
  </si>
  <si>
    <t>K+300%</t>
  </si>
  <si>
    <t>September</t>
  </si>
  <si>
    <t>K+250%</t>
  </si>
  <si>
    <t>October</t>
  </si>
  <si>
    <t>K+200%</t>
  </si>
  <si>
    <t>for K+100%</t>
  </si>
  <si>
    <t>Month</t>
  </si>
  <si>
    <t>December</t>
  </si>
  <si>
    <t>November</t>
  </si>
  <si>
    <t>setup cost=</t>
  </si>
  <si>
    <t>K+150%</t>
  </si>
  <si>
    <t>K=2300</t>
  </si>
  <si>
    <t>Net req.</t>
  </si>
  <si>
    <t>holding cost=</t>
  </si>
  <si>
    <t>K+100%</t>
  </si>
  <si>
    <t>time-phased net req.</t>
  </si>
  <si>
    <t>total cost=</t>
  </si>
  <si>
    <t>k=1150</t>
  </si>
  <si>
    <t>Q</t>
  </si>
  <si>
    <t>K+50%</t>
  </si>
  <si>
    <t>EOQ</t>
  </si>
  <si>
    <t>k=1725</t>
  </si>
  <si>
    <t>K</t>
  </si>
  <si>
    <t>Planned deliveries</t>
  </si>
  <si>
    <t>k=2300</t>
  </si>
  <si>
    <t>Ending inventory</t>
  </si>
  <si>
    <t>k=2875</t>
  </si>
  <si>
    <t>k=3450</t>
  </si>
  <si>
    <t>for K+150%</t>
  </si>
  <si>
    <t>k=4025</t>
  </si>
  <si>
    <t>K=2875</t>
  </si>
  <si>
    <t>k=4600</t>
  </si>
  <si>
    <t>k=5175</t>
  </si>
  <si>
    <t>k=6900</t>
  </si>
  <si>
    <t>k=8050</t>
  </si>
  <si>
    <t>k=9200</t>
  </si>
  <si>
    <t>k=10350</t>
  </si>
  <si>
    <t>for K+200%</t>
  </si>
  <si>
    <t>K=3450</t>
  </si>
  <si>
    <t>for K+300%</t>
  </si>
  <si>
    <t>K=4600</t>
  </si>
  <si>
    <t>for K+500%</t>
  </si>
  <si>
    <t>K=6900</t>
  </si>
  <si>
    <t>for K+600%</t>
  </si>
  <si>
    <t>K=8050</t>
  </si>
  <si>
    <t>for K+700%</t>
  </si>
  <si>
    <t>K=9200</t>
  </si>
  <si>
    <t>243 TL</t>
  </si>
  <si>
    <t>CUBE</t>
  </si>
  <si>
    <t>1/8i al</t>
  </si>
  <si>
    <t>c</t>
  </si>
  <si>
    <t>Time-Phased Net Req.</t>
  </si>
  <si>
    <t>lamda</t>
  </si>
  <si>
    <t>h</t>
  </si>
  <si>
    <t>Setup Cost</t>
  </si>
  <si>
    <t>Holding Cost</t>
  </si>
  <si>
    <t>Total Cost</t>
  </si>
  <si>
    <t>Silver-Meal Heuristic</t>
  </si>
  <si>
    <t>r</t>
  </si>
  <si>
    <t>starting from period 1</t>
  </si>
  <si>
    <t>Planned Order</t>
  </si>
  <si>
    <t>Inventory</t>
  </si>
  <si>
    <t>c(1)=</t>
  </si>
  <si>
    <t>y(1)=</t>
  </si>
  <si>
    <t xml:space="preserve">Holding </t>
  </si>
  <si>
    <t>c(2)=</t>
  </si>
  <si>
    <t>c(3)=</t>
  </si>
  <si>
    <t>c(4)=</t>
  </si>
  <si>
    <t>c(6)&gt;c(5)</t>
  </si>
  <si>
    <t>Stop</t>
  </si>
  <si>
    <t>c(5)=</t>
  </si>
  <si>
    <t>c(6)=</t>
  </si>
  <si>
    <t>starting from period 6</t>
  </si>
  <si>
    <t>y(2)=</t>
  </si>
  <si>
    <t>starting from period 11</t>
  </si>
  <si>
    <t>y(3)=</t>
  </si>
  <si>
    <t>Least Unit Cost</t>
  </si>
  <si>
    <t>c(5)&gt;c(4)</t>
  </si>
  <si>
    <t>starting from period 5</t>
  </si>
  <si>
    <t>starting from period 9</t>
  </si>
  <si>
    <t>Part Period Balancing</t>
  </si>
  <si>
    <t>Period 1</t>
  </si>
  <si>
    <t>Period 2</t>
  </si>
  <si>
    <t>Period 3</t>
  </si>
  <si>
    <t>Period 4</t>
  </si>
  <si>
    <t>nearest to K</t>
  </si>
  <si>
    <t>Period 5</t>
  </si>
  <si>
    <t>starting from period 10</t>
  </si>
  <si>
    <t xml:space="preserve">EKRU </t>
  </si>
  <si>
    <t>EKRU</t>
  </si>
  <si>
    <t>c(8)&gt;c(7)</t>
  </si>
  <si>
    <t>c(7)=</t>
  </si>
  <si>
    <t>c(8)=</t>
  </si>
  <si>
    <t>starting from period 8</t>
  </si>
  <si>
    <t>Period 6</t>
  </si>
  <si>
    <t>Period 7</t>
  </si>
  <si>
    <t>Period 8</t>
  </si>
  <si>
    <t>ZAMBAK</t>
  </si>
  <si>
    <t>c(7)&gt;c(6)</t>
  </si>
  <si>
    <t>starting from period 7</t>
  </si>
  <si>
    <t>NİSA</t>
  </si>
  <si>
    <t>Chester</t>
  </si>
  <si>
    <t>k</t>
  </si>
  <si>
    <t>EQQ</t>
  </si>
  <si>
    <t>period 1</t>
  </si>
  <si>
    <t>c1</t>
  </si>
  <si>
    <t>y1</t>
  </si>
  <si>
    <t>panned order</t>
  </si>
  <si>
    <t>inventory</t>
  </si>
  <si>
    <t>setup cost</t>
  </si>
  <si>
    <t>c2</t>
  </si>
  <si>
    <t>holdıng cost</t>
  </si>
  <si>
    <t>c3</t>
  </si>
  <si>
    <t>total cost</t>
  </si>
  <si>
    <t>c4</t>
  </si>
  <si>
    <t>c5</t>
  </si>
  <si>
    <t>c6</t>
  </si>
  <si>
    <t>c7</t>
  </si>
  <si>
    <t>c8</t>
  </si>
  <si>
    <t>c9</t>
  </si>
  <si>
    <t>c10</t>
  </si>
  <si>
    <t>c11</t>
  </si>
  <si>
    <t>sum</t>
  </si>
  <si>
    <t>ı</t>
  </si>
  <si>
    <t xml:space="preserve">period 1 </t>
  </si>
  <si>
    <t>y2</t>
  </si>
  <si>
    <t>period 9</t>
  </si>
  <si>
    <t>nearest to k</t>
  </si>
  <si>
    <t>ONE</t>
  </si>
  <si>
    <t>holding cost</t>
  </si>
  <si>
    <t>period 7</t>
  </si>
  <si>
    <t>y7</t>
  </si>
  <si>
    <t>period 6</t>
  </si>
  <si>
    <t>y6</t>
  </si>
  <si>
    <t>KUPA</t>
  </si>
  <si>
    <t>period 8</t>
  </si>
  <si>
    <t>y8</t>
  </si>
  <si>
    <t>TUBE</t>
  </si>
  <si>
    <t>setup</t>
  </si>
  <si>
    <t>holding</t>
  </si>
  <si>
    <t>total</t>
  </si>
  <si>
    <t>Least Unit</t>
  </si>
  <si>
    <t xml:space="preserve">Siver meal Heuristic </t>
  </si>
  <si>
    <t>r=</t>
  </si>
  <si>
    <t xml:space="preserve">Part period Balancing </t>
  </si>
  <si>
    <t>starting period 1</t>
  </si>
  <si>
    <t>period</t>
  </si>
  <si>
    <t xml:space="preserve">her dönem yeni sipariş her ay </t>
  </si>
  <si>
    <t>c(2)&gt;c(1) stop</t>
  </si>
  <si>
    <t>y1=r1</t>
  </si>
  <si>
    <t>y3</t>
  </si>
  <si>
    <t>Optimum K= K+100%</t>
  </si>
  <si>
    <t>starting period 2</t>
  </si>
  <si>
    <t>y4</t>
  </si>
  <si>
    <t>y5</t>
  </si>
  <si>
    <t>y2=r2</t>
  </si>
  <si>
    <t>starting period 3</t>
  </si>
  <si>
    <t>Q=</t>
  </si>
  <si>
    <t>y9</t>
  </si>
  <si>
    <t>y10</t>
  </si>
  <si>
    <t>y11</t>
  </si>
  <si>
    <t>starting period 4</t>
  </si>
  <si>
    <t>y3=r3</t>
  </si>
  <si>
    <t>starting period 5</t>
  </si>
  <si>
    <t>y4=r4</t>
  </si>
  <si>
    <t>starting period 6</t>
  </si>
  <si>
    <t>y5=r5</t>
  </si>
  <si>
    <t>staritng period 6</t>
  </si>
  <si>
    <t>starting period 7</t>
  </si>
  <si>
    <t>y6=r6</t>
  </si>
  <si>
    <t>starting period 8</t>
  </si>
  <si>
    <t>c(1)</t>
  </si>
  <si>
    <t>y7=r7</t>
  </si>
  <si>
    <t>starting period 9</t>
  </si>
  <si>
    <t>staritng period 8</t>
  </si>
  <si>
    <t xml:space="preserve">period </t>
  </si>
  <si>
    <t>starting period 10</t>
  </si>
  <si>
    <t>y8=r8</t>
  </si>
  <si>
    <t>y9=r9</t>
  </si>
  <si>
    <t>y10=r10</t>
  </si>
  <si>
    <t>c(2)</t>
  </si>
  <si>
    <t>MONTHS</t>
  </si>
  <si>
    <t>H=</t>
  </si>
  <si>
    <t>K=</t>
  </si>
  <si>
    <t>r1+r2+r3</t>
  </si>
  <si>
    <t>r1+r2</t>
  </si>
  <si>
    <t xml:space="preserve">holding </t>
  </si>
  <si>
    <t>r4+r5+r6+r7+r8+r9</t>
  </si>
  <si>
    <t>r3+r4</t>
  </si>
  <si>
    <t>r3+r4+r5</t>
  </si>
  <si>
    <t>c(3)</t>
  </si>
  <si>
    <t>r10+r11</t>
  </si>
  <si>
    <t>c3&gt;c2 stop</t>
  </si>
  <si>
    <t>r5+r6</t>
  </si>
  <si>
    <t>r6+r7+r8</t>
  </si>
  <si>
    <t>c(4)</t>
  </si>
  <si>
    <t>c(4)&gt;c(3) stop</t>
  </si>
  <si>
    <t>r7+r8+r9</t>
  </si>
  <si>
    <t>r9+r10+r11</t>
  </si>
  <si>
    <t>hoding cost=</t>
  </si>
  <si>
    <t>c(5)</t>
  </si>
  <si>
    <t>c(6)</t>
  </si>
  <si>
    <t>c(7)</t>
  </si>
  <si>
    <t>c(7)&gt;c(6) stop</t>
  </si>
  <si>
    <t>c4&gt;c3 stop</t>
  </si>
  <si>
    <t>RUBA</t>
  </si>
  <si>
    <t>Costs</t>
  </si>
  <si>
    <t>Results</t>
  </si>
  <si>
    <t>startin period 1</t>
  </si>
  <si>
    <t>r4+r5+r6</t>
  </si>
  <si>
    <t xml:space="preserve">c4&gt;c3 stop </t>
  </si>
  <si>
    <t>c4&gt;c3</t>
  </si>
  <si>
    <t>Months</t>
  </si>
  <si>
    <t>Planned order</t>
  </si>
  <si>
    <t>planned order</t>
  </si>
  <si>
    <t>LILA</t>
  </si>
  <si>
    <t>D</t>
  </si>
  <si>
    <t>F</t>
  </si>
  <si>
    <t>r1+r2+r3+r4+r5+r6+r7</t>
  </si>
  <si>
    <t>r8+r9+r10+r11</t>
  </si>
  <si>
    <t>LAMDA</t>
  </si>
  <si>
    <t>c8&gt;c7 stop</t>
  </si>
  <si>
    <t>c9&gt;c8 stop</t>
  </si>
  <si>
    <t>CEYLIN-ES</t>
  </si>
  <si>
    <t>lambda</t>
  </si>
  <si>
    <t>Rounded up forecasts</t>
  </si>
  <si>
    <t xml:space="preserve">Silver meal Heuristic </t>
  </si>
  <si>
    <t>Planned Schedule order</t>
  </si>
  <si>
    <t>y1=r1+r2+r3</t>
  </si>
  <si>
    <t>y2=r1+r2+r3</t>
  </si>
  <si>
    <t>y3=r1+r2+r3</t>
  </si>
  <si>
    <t>c(3)&gt;c(2) stop</t>
  </si>
  <si>
    <t>y2=r1+r2</t>
  </si>
  <si>
    <t>y4=r1+r2+r3</t>
  </si>
  <si>
    <t>Meryem</t>
  </si>
  <si>
    <t>Lambda</t>
  </si>
  <si>
    <t>Rounded up forecast</t>
  </si>
  <si>
    <t>y4=r1+r2</t>
  </si>
  <si>
    <t>c(8)</t>
  </si>
  <si>
    <t>c(8)&gt;c(7) stop</t>
  </si>
  <si>
    <t>**** 2 tane mi 1 tane mi setup olur çünkü biri 0</t>
  </si>
  <si>
    <t>c(6)&gt;c(5) stop</t>
  </si>
  <si>
    <t>*********</t>
  </si>
  <si>
    <t>c(9)</t>
  </si>
  <si>
    <t>c(10)</t>
  </si>
  <si>
    <t>c(11)</t>
  </si>
  <si>
    <t>Sandalye A.</t>
  </si>
  <si>
    <t>h=</t>
  </si>
  <si>
    <t>Lamda</t>
  </si>
  <si>
    <t>starting period</t>
  </si>
  <si>
    <t>ı=</t>
  </si>
  <si>
    <t>C=</t>
  </si>
  <si>
    <t>y4=r4+r5+r6+r7</t>
  </si>
  <si>
    <t>y1=</t>
  </si>
  <si>
    <t>SİLVER-MEAL</t>
  </si>
  <si>
    <t>y2=r2+r3+r4+r5+r6</t>
  </si>
  <si>
    <t>y8=r8+r9+r10+r11</t>
  </si>
  <si>
    <t>y2=</t>
  </si>
  <si>
    <t>y7=r7+r8+r9+r10+r11</t>
  </si>
  <si>
    <t>y3=</t>
  </si>
  <si>
    <t>nearest K</t>
  </si>
  <si>
    <t>period 5</t>
  </si>
  <si>
    <t>c(5)&gt;c(6) stop</t>
  </si>
  <si>
    <t>stop</t>
  </si>
  <si>
    <t>?</t>
  </si>
  <si>
    <t>CUBIC</t>
  </si>
  <si>
    <t>lAMDA</t>
  </si>
  <si>
    <t>y1=r1+r2+r3+r4+r5</t>
  </si>
  <si>
    <t>y8=</t>
  </si>
  <si>
    <t>y6=r6+r7+r8</t>
  </si>
  <si>
    <t>I=</t>
  </si>
  <si>
    <t>y9=r9+r10+r11</t>
  </si>
  <si>
    <t>Starting period 6</t>
  </si>
  <si>
    <t>7 stop</t>
  </si>
  <si>
    <t>Starting period 9</t>
  </si>
  <si>
    <t>5 stop</t>
  </si>
  <si>
    <t>LIMON</t>
  </si>
  <si>
    <t>Column1</t>
  </si>
  <si>
    <t>k=</t>
  </si>
  <si>
    <t>y6=r6+r7+r8+r9</t>
  </si>
  <si>
    <t>y10= r=10+r11</t>
  </si>
  <si>
    <t>y5=</t>
  </si>
  <si>
    <t>y9=</t>
  </si>
  <si>
    <t>nearest k</t>
  </si>
  <si>
    <t>Period</t>
  </si>
  <si>
    <t>Planned Schedule Order</t>
  </si>
  <si>
    <t>c(5)&gt;c(4) stop</t>
  </si>
  <si>
    <t>ELA</t>
  </si>
  <si>
    <t>y1=r1+r2+r3+r4+r5+r6+r7</t>
  </si>
  <si>
    <t>y10=</t>
  </si>
  <si>
    <t>Product Name:CEYLIN</t>
  </si>
  <si>
    <t>Product Name:CUBE</t>
  </si>
  <si>
    <t>Product Name:CHESTER</t>
  </si>
  <si>
    <t>Product Name:KURE</t>
  </si>
  <si>
    <t>Product Name:SANDALYE AYAGI</t>
  </si>
  <si>
    <t>Lot-Sizing Technique</t>
  </si>
  <si>
    <t>Product Name:MERYEM</t>
  </si>
  <si>
    <t>Product Name:EKRU</t>
  </si>
  <si>
    <t>Product Name:ONE</t>
  </si>
  <si>
    <t>Product Name:ITALIC</t>
  </si>
  <si>
    <t>Sütun1</t>
  </si>
  <si>
    <t>Sütun2</t>
  </si>
  <si>
    <t>Sütun3</t>
  </si>
  <si>
    <t>Product Name:CUBIC</t>
  </si>
  <si>
    <t>Product Name:INCI</t>
  </si>
  <si>
    <t>Column2</t>
  </si>
  <si>
    <t>Column3</t>
  </si>
  <si>
    <t>Product Name:ZAMBAK</t>
  </si>
  <si>
    <t>Product Name:KUPA</t>
  </si>
  <si>
    <t>Product Name:RUBA</t>
  </si>
  <si>
    <t>Product Name:LIMON</t>
  </si>
  <si>
    <t>Product Name:VIVA</t>
  </si>
  <si>
    <t>Product Name:NISA</t>
  </si>
  <si>
    <t>Product Name:TUBE</t>
  </si>
  <si>
    <t>Product Name:LILA</t>
  </si>
  <si>
    <t>Product Name:ELA</t>
  </si>
  <si>
    <t>PRODUCT NAMES</t>
  </si>
  <si>
    <t>LOWEST COST</t>
  </si>
  <si>
    <t>LOT-SIZING TECHNIQUE</t>
  </si>
  <si>
    <t>CEYLIN</t>
  </si>
  <si>
    <t>Silver Meal Heuristic, Least Unit Cost, Part Period Balancing</t>
  </si>
  <si>
    <t>MERYEM</t>
  </si>
  <si>
    <t>INCI</t>
  </si>
  <si>
    <t>Silver Meal Heuristic, Part Period Balancing</t>
  </si>
  <si>
    <t>VIVA</t>
  </si>
  <si>
    <t>Least Unit Cost, Part Period Balancing</t>
  </si>
  <si>
    <t>NISA</t>
  </si>
  <si>
    <t>CHESTER</t>
  </si>
  <si>
    <t>ITALIC</t>
  </si>
  <si>
    <t>SANDALYE AYAGI</t>
  </si>
  <si>
    <t>EOQ, Silver Meal Heuristic</t>
  </si>
  <si>
    <t xml:space="preserve">LIMON </t>
  </si>
  <si>
    <t>1/8 i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</si>
</sst>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charset val="16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2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FF0000"/>
      <name val="Aptos Narrow"/>
      <family val="2"/>
      <charset val="162"/>
      <scheme val="minor"/>
    </font>
    <font>
      <sz val="11"/>
      <color rgb="FF000000"/>
      <name val="Aptos Narrow"/>
      <family val="2"/>
      <charset val="162"/>
      <scheme val="minor"/>
    </font>
    <font>
      <sz val="11"/>
      <color rgb="FF000000"/>
      <name val="Aptos Narrow"/>
      <family val="2"/>
      <charset val="16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charset val="162"/>
      <scheme val="minor"/>
    </font>
    <font>
      <sz val="12"/>
      <color theme="4" tint="-0.249977111117893"/>
      <name val="Times New Roman"/>
      <family val="1"/>
      <charset val="162"/>
    </font>
    <font>
      <sz val="11"/>
      <color theme="4" tint="0.79998168889431442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00000"/>
      <name val="Times New Roman"/>
      <family val="1"/>
      <charset val="162"/>
    </font>
    <font>
      <sz val="12"/>
      <color rgb="FF000000"/>
      <name val="Times New Roman"/>
      <family val="1"/>
      <charset val="16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F2CEEF"/>
        <bgColor rgb="FFC0E6F5"/>
      </patternFill>
    </fill>
    <fill>
      <patternFill patternType="solid">
        <fgColor rgb="FFDAF2D0"/>
        <bgColor rgb="FFC0E6F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6" tint="0.79998168889431442"/>
        <bgColor rgb="FFC0E6F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C0E6F5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C0E6F5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C0E6F5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C0E6F5"/>
      </patternFill>
    </fill>
    <fill>
      <patternFill patternType="solid">
        <fgColor rgb="FFFF6699"/>
        <bgColor indexed="64"/>
      </patternFill>
    </fill>
    <fill>
      <patternFill patternType="solid">
        <fgColor rgb="FFFF6699"/>
        <bgColor rgb="FFC0E6F5"/>
      </patternFill>
    </fill>
    <fill>
      <patternFill patternType="solid">
        <fgColor rgb="FFFF6699"/>
        <bgColor rgb="FF000000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C0E6F5"/>
      </patternFill>
    </fill>
    <fill>
      <patternFill patternType="solid">
        <fgColor rgb="FFFFFF6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33CCCC"/>
        <bgColor rgb="FFC0E6F5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0E6F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C0E6F5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rgb="FFC0E6F5"/>
      </patternFill>
    </fill>
    <fill>
      <patternFill patternType="solid">
        <fgColor rgb="FF92D050"/>
        <bgColor rgb="FFC0E6F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C0E6F5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5F72ED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theme="4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1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2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16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1" fillId="2" borderId="1" xfId="0" applyFont="1" applyFill="1" applyBorder="1"/>
    <xf numFmtId="0" fontId="2" fillId="0" borderId="0" xfId="0" applyFont="1"/>
    <xf numFmtId="0" fontId="1" fillId="3" borderId="1" xfId="0" applyFont="1" applyFill="1" applyBorder="1"/>
    <xf numFmtId="0" fontId="1" fillId="3" borderId="2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6" borderId="3" xfId="0" applyFont="1" applyFill="1" applyBorder="1"/>
    <xf numFmtId="0" fontId="2" fillId="3" borderId="4" xfId="0" applyFont="1" applyFill="1" applyBorder="1"/>
    <xf numFmtId="0" fontId="1" fillId="7" borderId="3" xfId="0" applyFont="1" applyFill="1" applyBorder="1"/>
    <xf numFmtId="0" fontId="2" fillId="4" borderId="4" xfId="0" applyFont="1" applyFill="1" applyBorder="1"/>
    <xf numFmtId="0" fontId="0" fillId="8" borderId="0" xfId="0" applyFill="1"/>
    <xf numFmtId="3" fontId="0" fillId="0" borderId="0" xfId="0" applyNumberFormat="1"/>
    <xf numFmtId="0" fontId="1" fillId="5" borderId="0" xfId="0" applyFont="1" applyFill="1"/>
    <xf numFmtId="1" fontId="0" fillId="0" borderId="0" xfId="0" applyNumberFormat="1"/>
    <xf numFmtId="0" fontId="0" fillId="9" borderId="0" xfId="0" applyFill="1"/>
    <xf numFmtId="0" fontId="0" fillId="9" borderId="1" xfId="0" applyFill="1" applyBorder="1"/>
    <xf numFmtId="0" fontId="2" fillId="10" borderId="1" xfId="0" applyFont="1" applyFill="1" applyBorder="1"/>
    <xf numFmtId="0" fontId="3" fillId="12" borderId="1" xfId="0" applyFont="1" applyFill="1" applyBorder="1"/>
    <xf numFmtId="0" fontId="0" fillId="12" borderId="1" xfId="0" applyFill="1" applyBorder="1"/>
    <xf numFmtId="0" fontId="1" fillId="13" borderId="1" xfId="0" applyFont="1" applyFill="1" applyBorder="1"/>
    <xf numFmtId="0" fontId="2" fillId="14" borderId="1" xfId="0" applyFont="1" applyFill="1" applyBorder="1"/>
    <xf numFmtId="0" fontId="1" fillId="13" borderId="5" xfId="0" applyFont="1" applyFill="1" applyBorder="1"/>
    <xf numFmtId="0" fontId="0" fillId="12" borderId="0" xfId="0" applyFill="1"/>
    <xf numFmtId="0" fontId="3" fillId="12" borderId="0" xfId="0" applyFont="1" applyFill="1"/>
    <xf numFmtId="0" fontId="3" fillId="15" borderId="1" xfId="0" applyFont="1" applyFill="1" applyBorder="1"/>
    <xf numFmtId="0" fontId="0" fillId="15" borderId="1" xfId="0" applyFill="1" applyBorder="1"/>
    <xf numFmtId="0" fontId="1" fillId="16" borderId="1" xfId="0" applyFont="1" applyFill="1" applyBorder="1"/>
    <xf numFmtId="0" fontId="2" fillId="17" borderId="1" xfId="0" applyFont="1" applyFill="1" applyBorder="1"/>
    <xf numFmtId="0" fontId="0" fillId="15" borderId="0" xfId="0" applyFill="1"/>
    <xf numFmtId="0" fontId="1" fillId="16" borderId="5" xfId="0" applyFont="1" applyFill="1" applyBorder="1"/>
    <xf numFmtId="0" fontId="3" fillId="15" borderId="0" xfId="0" applyFont="1" applyFill="1"/>
    <xf numFmtId="0" fontId="3" fillId="18" borderId="1" xfId="0" applyFont="1" applyFill="1" applyBorder="1"/>
    <xf numFmtId="0" fontId="0" fillId="18" borderId="1" xfId="0" applyFill="1" applyBorder="1"/>
    <xf numFmtId="0" fontId="1" fillId="19" borderId="1" xfId="0" applyFont="1" applyFill="1" applyBorder="1"/>
    <xf numFmtId="0" fontId="2" fillId="20" borderId="1" xfId="0" applyFont="1" applyFill="1" applyBorder="1"/>
    <xf numFmtId="0" fontId="0" fillId="18" borderId="0" xfId="0" applyFill="1"/>
    <xf numFmtId="0" fontId="1" fillId="19" borderId="5" xfId="0" applyFont="1" applyFill="1" applyBorder="1"/>
    <xf numFmtId="0" fontId="3" fillId="18" borderId="0" xfId="0" applyFont="1" applyFill="1"/>
    <xf numFmtId="0" fontId="0" fillId="21" borderId="1" xfId="0" applyFill="1" applyBorder="1"/>
    <xf numFmtId="0" fontId="1" fillId="22" borderId="1" xfId="0" applyFont="1" applyFill="1" applyBorder="1"/>
    <xf numFmtId="0" fontId="0" fillId="21" borderId="0" xfId="0" applyFill="1"/>
    <xf numFmtId="0" fontId="1" fillId="22" borderId="5" xfId="0" applyFont="1" applyFill="1" applyBorder="1"/>
    <xf numFmtId="0" fontId="3" fillId="21" borderId="0" xfId="0" applyFont="1" applyFill="1"/>
    <xf numFmtId="0" fontId="3" fillId="23" borderId="1" xfId="0" applyFont="1" applyFill="1" applyBorder="1"/>
    <xf numFmtId="0" fontId="0" fillId="23" borderId="1" xfId="0" applyFill="1" applyBorder="1"/>
    <xf numFmtId="0" fontId="1" fillId="24" borderId="1" xfId="0" applyFont="1" applyFill="1" applyBorder="1"/>
    <xf numFmtId="0" fontId="2" fillId="25" borderId="1" xfId="0" applyFont="1" applyFill="1" applyBorder="1"/>
    <xf numFmtId="0" fontId="0" fillId="23" borderId="0" xfId="0" applyFill="1"/>
    <xf numFmtId="0" fontId="1" fillId="24" borderId="5" xfId="0" applyFont="1" applyFill="1" applyBorder="1"/>
    <xf numFmtId="0" fontId="3" fillId="23" borderId="0" xfId="0" applyFont="1" applyFill="1"/>
    <xf numFmtId="0" fontId="3" fillId="26" borderId="1" xfId="0" applyFont="1" applyFill="1" applyBorder="1"/>
    <xf numFmtId="0" fontId="0" fillId="26" borderId="1" xfId="0" applyFill="1" applyBorder="1"/>
    <xf numFmtId="0" fontId="1" fillId="27" borderId="1" xfId="0" applyFont="1" applyFill="1" applyBorder="1"/>
    <xf numFmtId="0" fontId="0" fillId="26" borderId="0" xfId="0" applyFill="1"/>
    <xf numFmtId="0" fontId="2" fillId="28" borderId="1" xfId="0" applyFont="1" applyFill="1" applyBorder="1"/>
    <xf numFmtId="0" fontId="1" fillId="27" borderId="6" xfId="0" applyFont="1" applyFill="1" applyBorder="1"/>
    <xf numFmtId="0" fontId="2" fillId="28" borderId="6" xfId="0" applyFont="1" applyFill="1" applyBorder="1"/>
    <xf numFmtId="0" fontId="0" fillId="26" borderId="6" xfId="0" applyFill="1" applyBorder="1"/>
    <xf numFmtId="0" fontId="0" fillId="29" borderId="0" xfId="0" applyFill="1"/>
    <xf numFmtId="0" fontId="1" fillId="27" borderId="5" xfId="0" applyFont="1" applyFill="1" applyBorder="1"/>
    <xf numFmtId="0" fontId="3" fillId="26" borderId="0" xfId="0" applyFont="1" applyFill="1"/>
    <xf numFmtId="0" fontId="0" fillId="30" borderId="0" xfId="0" applyFill="1"/>
    <xf numFmtId="0" fontId="1" fillId="31" borderId="5" xfId="0" applyFont="1" applyFill="1" applyBorder="1"/>
    <xf numFmtId="0" fontId="3" fillId="30" borderId="0" xfId="0" applyFont="1" applyFill="1"/>
    <xf numFmtId="0" fontId="0" fillId="0" borderId="0" xfId="0" applyAlignment="1">
      <alignment horizontal="right"/>
    </xf>
    <xf numFmtId="0" fontId="3" fillId="9" borderId="0" xfId="0" applyFont="1" applyFill="1"/>
    <xf numFmtId="0" fontId="0" fillId="9" borderId="0" xfId="0" applyFill="1" applyAlignment="1">
      <alignment horizontal="right"/>
    </xf>
    <xf numFmtId="0" fontId="2" fillId="10" borderId="7" xfId="0" applyFont="1" applyFill="1" applyBorder="1"/>
    <xf numFmtId="0" fontId="0" fillId="9" borderId="8" xfId="0" applyFill="1" applyBorder="1"/>
    <xf numFmtId="0" fontId="0" fillId="9" borderId="9" xfId="0" applyFill="1" applyBorder="1"/>
    <xf numFmtId="0" fontId="0" fillId="9" borderId="10" xfId="0" applyFill="1" applyBorder="1"/>
    <xf numFmtId="0" fontId="0" fillId="9" borderId="5" xfId="0" applyFill="1" applyBorder="1"/>
    <xf numFmtId="0" fontId="0" fillId="9" borderId="11" xfId="0" applyFill="1" applyBorder="1"/>
    <xf numFmtId="0" fontId="0" fillId="9" borderId="12" xfId="0" applyFill="1" applyBorder="1"/>
    <xf numFmtId="0" fontId="0" fillId="9" borderId="13" xfId="0" applyFill="1" applyBorder="1"/>
    <xf numFmtId="0" fontId="0" fillId="9" borderId="4" xfId="0" applyFill="1" applyBorder="1"/>
    <xf numFmtId="0" fontId="0" fillId="32" borderId="0" xfId="0" applyFill="1"/>
    <xf numFmtId="0" fontId="2" fillId="33" borderId="1" xfId="0" applyFont="1" applyFill="1" applyBorder="1"/>
    <xf numFmtId="0" fontId="0" fillId="32" borderId="1" xfId="0" applyFill="1" applyBorder="1"/>
    <xf numFmtId="0" fontId="0" fillId="32" borderId="1" xfId="0" applyFill="1" applyBorder="1" applyAlignment="1">
      <alignment horizontal="right"/>
    </xf>
    <xf numFmtId="0" fontId="0" fillId="32" borderId="8" xfId="0" applyFill="1" applyBorder="1"/>
    <xf numFmtId="0" fontId="0" fillId="32" borderId="9" xfId="0" applyFill="1" applyBorder="1"/>
    <xf numFmtId="0" fontId="0" fillId="32" borderId="10" xfId="0" applyFill="1" applyBorder="1"/>
    <xf numFmtId="0" fontId="0" fillId="32" borderId="5" xfId="0" applyFill="1" applyBorder="1"/>
    <xf numFmtId="0" fontId="0" fillId="32" borderId="11" xfId="0" applyFill="1" applyBorder="1"/>
    <xf numFmtId="0" fontId="0" fillId="32" borderId="12" xfId="0" applyFill="1" applyBorder="1"/>
    <xf numFmtId="0" fontId="0" fillId="32" borderId="13" xfId="0" applyFill="1" applyBorder="1"/>
    <xf numFmtId="0" fontId="0" fillId="32" borderId="4" xfId="0" applyFill="1" applyBorder="1"/>
    <xf numFmtId="0" fontId="0" fillId="32" borderId="2" xfId="0" applyFill="1" applyBorder="1"/>
    <xf numFmtId="0" fontId="0" fillId="23" borderId="8" xfId="0" applyFill="1" applyBorder="1"/>
    <xf numFmtId="0" fontId="0" fillId="23" borderId="10" xfId="0" applyFill="1" applyBorder="1"/>
    <xf numFmtId="0" fontId="0" fillId="23" borderId="5" xfId="0" applyFill="1" applyBorder="1"/>
    <xf numFmtId="0" fontId="0" fillId="23" borderId="11" xfId="0" applyFill="1" applyBorder="1"/>
    <xf numFmtId="0" fontId="0" fillId="23" borderId="12" xfId="0" applyFill="1" applyBorder="1"/>
    <xf numFmtId="0" fontId="0" fillId="23" borderId="4" xfId="0" applyFill="1" applyBorder="1"/>
    <xf numFmtId="0" fontId="0" fillId="23" borderId="7" xfId="0" applyFill="1" applyBorder="1" applyAlignment="1">
      <alignment horizontal="right"/>
    </xf>
    <xf numFmtId="0" fontId="2" fillId="25" borderId="7" xfId="0" applyFont="1" applyFill="1" applyBorder="1"/>
    <xf numFmtId="0" fontId="1" fillId="11" borderId="1" xfId="0" applyFont="1" applyFill="1" applyBorder="1" applyAlignment="1">
      <alignment horizontal="right"/>
    </xf>
    <xf numFmtId="0" fontId="3" fillId="34" borderId="1" xfId="0" applyFont="1" applyFill="1" applyBorder="1"/>
    <xf numFmtId="0" fontId="1" fillId="35" borderId="1" xfId="0" applyFont="1" applyFill="1" applyBorder="1"/>
    <xf numFmtId="3" fontId="6" fillId="36" borderId="14" xfId="0" applyNumberFormat="1" applyFont="1" applyFill="1" applyBorder="1"/>
    <xf numFmtId="0" fontId="6" fillId="36" borderId="14" xfId="0" applyFont="1" applyFill="1" applyBorder="1"/>
    <xf numFmtId="0" fontId="0" fillId="34" borderId="1" xfId="0" applyFill="1" applyBorder="1"/>
    <xf numFmtId="0" fontId="3" fillId="9" borderId="1" xfId="0" applyFont="1" applyFill="1" applyBorder="1"/>
    <xf numFmtId="0" fontId="0" fillId="9" borderId="1" xfId="0" applyFill="1" applyBorder="1" applyAlignment="1">
      <alignment horizontal="right"/>
    </xf>
    <xf numFmtId="0" fontId="0" fillId="9" borderId="2" xfId="0" applyFill="1" applyBorder="1"/>
    <xf numFmtId="0" fontId="0" fillId="0" borderId="1" xfId="0" applyBorder="1"/>
    <xf numFmtId="0" fontId="3" fillId="0" borderId="0" xfId="0" applyFont="1"/>
    <xf numFmtId="0" fontId="1" fillId="0" borderId="0" xfId="0" applyFont="1"/>
    <xf numFmtId="3" fontId="6" fillId="0" borderId="0" xfId="0" applyNumberFormat="1" applyFont="1"/>
    <xf numFmtId="0" fontId="6" fillId="0" borderId="0" xfId="0" applyFont="1"/>
    <xf numFmtId="0" fontId="0" fillId="38" borderId="0" xfId="0" applyFill="1"/>
    <xf numFmtId="0" fontId="0" fillId="0" borderId="14" xfId="0" applyBorder="1"/>
    <xf numFmtId="0" fontId="1" fillId="35" borderId="0" xfId="0" applyFont="1" applyFill="1"/>
    <xf numFmtId="0" fontId="2" fillId="37" borderId="0" xfId="0" applyFont="1" applyFill="1"/>
    <xf numFmtId="0" fontId="0" fillId="34" borderId="0" xfId="0" applyFill="1"/>
    <xf numFmtId="0" fontId="1" fillId="35" borderId="0" xfId="0" applyFont="1" applyFill="1" applyAlignment="1">
      <alignment horizontal="right"/>
    </xf>
    <xf numFmtId="0" fontId="5" fillId="38" borderId="1" xfId="0" applyFont="1" applyFill="1" applyBorder="1"/>
    <xf numFmtId="0" fontId="0" fillId="38" borderId="1" xfId="0" applyFill="1" applyBorder="1"/>
    <xf numFmtId="0" fontId="0" fillId="41" borderId="14" xfId="0" applyFill="1" applyBorder="1"/>
    <xf numFmtId="0" fontId="0" fillId="41" borderId="15" xfId="0" applyFill="1" applyBorder="1"/>
    <xf numFmtId="0" fontId="0" fillId="41" borderId="16" xfId="0" applyFill="1" applyBorder="1"/>
    <xf numFmtId="0" fontId="0" fillId="42" borderId="1" xfId="0" applyFill="1" applyBorder="1"/>
    <xf numFmtId="0" fontId="0" fillId="42" borderId="1" xfId="0" applyFill="1" applyBorder="1" applyAlignment="1">
      <alignment horizontal="right"/>
    </xf>
    <xf numFmtId="0" fontId="1" fillId="41" borderId="14" xfId="0" applyFont="1" applyFill="1" applyBorder="1"/>
    <xf numFmtId="0" fontId="5" fillId="41" borderId="1" xfId="0" applyFont="1" applyFill="1" applyBorder="1"/>
    <xf numFmtId="0" fontId="1" fillId="41" borderId="1" xfId="0" applyFont="1" applyFill="1" applyBorder="1"/>
    <xf numFmtId="0" fontId="0" fillId="41" borderId="1" xfId="0" applyFill="1" applyBorder="1"/>
    <xf numFmtId="0" fontId="2" fillId="41" borderId="1" xfId="0" applyFont="1" applyFill="1" applyBorder="1"/>
    <xf numFmtId="1" fontId="0" fillId="41" borderId="16" xfId="0" applyNumberFormat="1" applyFill="1" applyBorder="1" applyAlignment="1">
      <alignment horizontal="center"/>
    </xf>
    <xf numFmtId="1" fontId="0" fillId="41" borderId="14" xfId="0" applyNumberFormat="1" applyFill="1" applyBorder="1" applyAlignment="1">
      <alignment horizontal="center"/>
    </xf>
    <xf numFmtId="0" fontId="0" fillId="41" borderId="1" xfId="0" applyFill="1" applyBorder="1" applyAlignment="1">
      <alignment horizontal="center"/>
    </xf>
    <xf numFmtId="1" fontId="0" fillId="41" borderId="1" xfId="0" applyNumberFormat="1" applyFill="1" applyBorder="1" applyAlignment="1">
      <alignment horizontal="center"/>
    </xf>
    <xf numFmtId="0" fontId="9" fillId="0" borderId="0" xfId="0" applyFont="1"/>
    <xf numFmtId="0" fontId="5" fillId="41" borderId="2" xfId="0" applyFont="1" applyFill="1" applyBorder="1"/>
    <xf numFmtId="0" fontId="0" fillId="18" borderId="14" xfId="0" applyFill="1" applyBorder="1"/>
    <xf numFmtId="0" fontId="0" fillId="8" borderId="1" xfId="0" applyFill="1" applyBorder="1"/>
    <xf numFmtId="0" fontId="5" fillId="34" borderId="1" xfId="0" applyFont="1" applyFill="1" applyBorder="1"/>
    <xf numFmtId="0" fontId="5" fillId="9" borderId="1" xfId="0" applyFont="1" applyFill="1" applyBorder="1"/>
    <xf numFmtId="0" fontId="5" fillId="15" borderId="1" xfId="0" applyFont="1" applyFill="1" applyBorder="1"/>
    <xf numFmtId="0" fontId="0" fillId="15" borderId="1" xfId="0" applyFill="1" applyBorder="1" applyAlignment="1">
      <alignment horizontal="right"/>
    </xf>
    <xf numFmtId="0" fontId="0" fillId="15" borderId="2" xfId="0" applyFill="1" applyBorder="1"/>
    <xf numFmtId="0" fontId="0" fillId="34" borderId="1" xfId="0" applyFill="1" applyBorder="1" applyAlignment="1">
      <alignment horizontal="right"/>
    </xf>
    <xf numFmtId="0" fontId="8" fillId="0" borderId="0" xfId="0" applyFont="1"/>
    <xf numFmtId="0" fontId="2" fillId="37" borderId="1" xfId="0" applyFont="1" applyFill="1" applyBorder="1"/>
    <xf numFmtId="0" fontId="3" fillId="9" borderId="2" xfId="0" applyFont="1" applyFill="1" applyBorder="1"/>
    <xf numFmtId="0" fontId="0" fillId="15" borderId="7" xfId="0" applyFill="1" applyBorder="1"/>
    <xf numFmtId="0" fontId="0" fillId="15" borderId="6" xfId="0" applyFill="1" applyBorder="1"/>
    <xf numFmtId="0" fontId="3" fillId="44" borderId="1" xfId="0" applyFont="1" applyFill="1" applyBorder="1"/>
    <xf numFmtId="0" fontId="5" fillId="9" borderId="4" xfId="0" applyFont="1" applyFill="1" applyBorder="1"/>
    <xf numFmtId="0" fontId="5" fillId="32" borderId="4" xfId="0" applyFont="1" applyFill="1" applyBorder="1"/>
    <xf numFmtId="0" fontId="3" fillId="32" borderId="1" xfId="0" applyFont="1" applyFill="1" applyBorder="1"/>
    <xf numFmtId="0" fontId="5" fillId="23" borderId="4" xfId="0" applyFont="1" applyFill="1" applyBorder="1"/>
    <xf numFmtId="0" fontId="0" fillId="23" borderId="9" xfId="0" applyFill="1" applyBorder="1"/>
    <xf numFmtId="0" fontId="0" fillId="23" borderId="13" xfId="0" applyFill="1" applyBorder="1"/>
    <xf numFmtId="0" fontId="0" fillId="44" borderId="1" xfId="0" applyFill="1" applyBorder="1" applyAlignment="1">
      <alignment horizontal="right"/>
    </xf>
    <xf numFmtId="0" fontId="0" fillId="44" borderId="8" xfId="0" applyFill="1" applyBorder="1"/>
    <xf numFmtId="0" fontId="0" fillId="44" borderId="9" xfId="0" applyFill="1" applyBorder="1"/>
    <xf numFmtId="0" fontId="0" fillId="44" borderId="10" xfId="0" applyFill="1" applyBorder="1"/>
    <xf numFmtId="0" fontId="0" fillId="44" borderId="5" xfId="0" applyFill="1" applyBorder="1"/>
    <xf numFmtId="0" fontId="0" fillId="44" borderId="0" xfId="0" applyFill="1"/>
    <xf numFmtId="0" fontId="0" fillId="44" borderId="11" xfId="0" applyFill="1" applyBorder="1"/>
    <xf numFmtId="0" fontId="0" fillId="44" borderId="12" xfId="0" applyFill="1" applyBorder="1"/>
    <xf numFmtId="0" fontId="0" fillId="44" borderId="13" xfId="0" applyFill="1" applyBorder="1"/>
    <xf numFmtId="0" fontId="0" fillId="44" borderId="4" xfId="0" applyFill="1" applyBorder="1"/>
    <xf numFmtId="0" fontId="0" fillId="23" borderId="1" xfId="0" applyFill="1" applyBorder="1" applyAlignment="1">
      <alignment horizontal="right"/>
    </xf>
    <xf numFmtId="0" fontId="5" fillId="21" borderId="1" xfId="0" applyFont="1" applyFill="1" applyBorder="1"/>
    <xf numFmtId="0" fontId="0" fillId="21" borderId="6" xfId="0" applyFill="1" applyBorder="1"/>
    <xf numFmtId="0" fontId="0" fillId="8" borderId="6" xfId="0" applyFill="1" applyBorder="1"/>
    <xf numFmtId="0" fontId="0" fillId="0" borderId="0" xfId="0" applyAlignment="1">
      <alignment horizontal="center"/>
    </xf>
    <xf numFmtId="0" fontId="0" fillId="0" borderId="2" xfId="0" applyBorder="1"/>
    <xf numFmtId="0" fontId="5" fillId="21" borderId="6" xfId="0" applyFont="1" applyFill="1" applyBorder="1"/>
    <xf numFmtId="0" fontId="0" fillId="18" borderId="14" xfId="0" applyFill="1" applyBorder="1" applyAlignment="1">
      <alignment horizontal="center" wrapText="1"/>
    </xf>
    <xf numFmtId="0" fontId="0" fillId="18" borderId="14" xfId="0" applyFill="1" applyBorder="1" applyAlignment="1">
      <alignment horizontal="center"/>
    </xf>
    <xf numFmtId="1" fontId="0" fillId="18" borderId="17" xfId="0" applyNumberFormat="1" applyFill="1" applyBorder="1" applyAlignment="1">
      <alignment horizontal="center"/>
    </xf>
    <xf numFmtId="1" fontId="0" fillId="18" borderId="14" xfId="0" applyNumberFormat="1" applyFill="1" applyBorder="1" applyAlignment="1">
      <alignment horizontal="center"/>
    </xf>
    <xf numFmtId="0" fontId="0" fillId="18" borderId="15" xfId="0" applyFill="1" applyBorder="1"/>
    <xf numFmtId="1" fontId="0" fillId="18" borderId="14" xfId="0" applyNumberFormat="1" applyFill="1" applyBorder="1"/>
    <xf numFmtId="0" fontId="5" fillId="18" borderId="14" xfId="0" applyFont="1" applyFill="1" applyBorder="1"/>
    <xf numFmtId="0" fontId="3" fillId="18" borderId="14" xfId="0" applyFont="1" applyFill="1" applyBorder="1"/>
    <xf numFmtId="1" fontId="0" fillId="44" borderId="14" xfId="0" applyNumberFormat="1" applyFill="1" applyBorder="1" applyAlignment="1">
      <alignment horizontal="center"/>
    </xf>
    <xf numFmtId="0" fontId="0" fillId="44" borderId="14" xfId="0" applyFill="1" applyBorder="1"/>
    <xf numFmtId="0" fontId="8" fillId="15" borderId="1" xfId="0" applyFont="1" applyFill="1" applyBorder="1"/>
    <xf numFmtId="0" fontId="8" fillId="34" borderId="1" xfId="0" applyFont="1" applyFill="1" applyBorder="1"/>
    <xf numFmtId="0" fontId="5" fillId="23" borderId="1" xfId="0" applyFont="1" applyFill="1" applyBorder="1"/>
    <xf numFmtId="1" fontId="0" fillId="44" borderId="14" xfId="0" applyNumberFormat="1" applyFill="1" applyBorder="1"/>
    <xf numFmtId="0" fontId="5" fillId="44" borderId="14" xfId="0" applyFont="1" applyFill="1" applyBorder="1"/>
    <xf numFmtId="0" fontId="3" fillId="44" borderId="14" xfId="0" applyFont="1" applyFill="1" applyBorder="1"/>
    <xf numFmtId="0" fontId="0" fillId="44" borderId="18" xfId="0" applyFill="1" applyBorder="1" applyAlignment="1">
      <alignment horizontal="center"/>
    </xf>
    <xf numFmtId="0" fontId="0" fillId="44" borderId="17" xfId="0" applyFill="1" applyBorder="1" applyAlignment="1">
      <alignment horizontal="center"/>
    </xf>
    <xf numFmtId="1" fontId="0" fillId="44" borderId="19" xfId="0" applyNumberFormat="1" applyFill="1" applyBorder="1" applyAlignment="1">
      <alignment horizontal="center"/>
    </xf>
    <xf numFmtId="1" fontId="0" fillId="44" borderId="17" xfId="0" applyNumberFormat="1" applyFill="1" applyBorder="1"/>
    <xf numFmtId="0" fontId="0" fillId="18" borderId="15" xfId="0" applyFill="1" applyBorder="1" applyAlignment="1">
      <alignment horizontal="center"/>
    </xf>
    <xf numFmtId="1" fontId="0" fillId="18" borderId="19" xfId="0" applyNumberFormat="1" applyFill="1" applyBorder="1" applyAlignment="1">
      <alignment horizontal="center"/>
    </xf>
    <xf numFmtId="0" fontId="0" fillId="18" borderId="16" xfId="0" applyFill="1" applyBorder="1"/>
    <xf numFmtId="0" fontId="5" fillId="15" borderId="2" xfId="0" applyFont="1" applyFill="1" applyBorder="1"/>
    <xf numFmtId="0" fontId="5" fillId="15" borderId="8" xfId="0" applyFont="1" applyFill="1" applyBorder="1"/>
    <xf numFmtId="0" fontId="0" fillId="42" borderId="14" xfId="0" applyFill="1" applyBorder="1"/>
    <xf numFmtId="0" fontId="0" fillId="42" borderId="14" xfId="0" applyFill="1" applyBorder="1" applyAlignment="1">
      <alignment horizontal="center"/>
    </xf>
    <xf numFmtId="1" fontId="0" fillId="42" borderId="14" xfId="0" applyNumberFormat="1" applyFill="1" applyBorder="1" applyAlignment="1">
      <alignment horizontal="center"/>
    </xf>
    <xf numFmtId="0" fontId="5" fillId="42" borderId="14" xfId="0" applyFont="1" applyFill="1" applyBorder="1"/>
    <xf numFmtId="0" fontId="3" fillId="42" borderId="14" xfId="0" applyFont="1" applyFill="1" applyBorder="1"/>
    <xf numFmtId="1" fontId="0" fillId="42" borderId="14" xfId="0" applyNumberFormat="1" applyFill="1" applyBorder="1"/>
    <xf numFmtId="0" fontId="0" fillId="42" borderId="0" xfId="0" applyFill="1" applyAlignment="1">
      <alignment horizontal="center"/>
    </xf>
    <xf numFmtId="0" fontId="0" fillId="42" borderId="0" xfId="0" applyFill="1"/>
    <xf numFmtId="1" fontId="0" fillId="42" borderId="0" xfId="0" applyNumberFormat="1" applyFill="1"/>
    <xf numFmtId="0" fontId="1" fillId="18" borderId="14" xfId="0" applyFont="1" applyFill="1" applyBorder="1"/>
    <xf numFmtId="0" fontId="1" fillId="44" borderId="14" xfId="0" applyFont="1" applyFill="1" applyBorder="1"/>
    <xf numFmtId="0" fontId="1" fillId="42" borderId="14" xfId="0" applyFont="1" applyFill="1" applyBorder="1"/>
    <xf numFmtId="0" fontId="1" fillId="39" borderId="1" xfId="0" applyFont="1" applyFill="1" applyBorder="1"/>
    <xf numFmtId="0" fontId="2" fillId="40" borderId="4" xfId="0" applyFont="1" applyFill="1" applyBorder="1"/>
    <xf numFmtId="0" fontId="1" fillId="45" borderId="2" xfId="0" applyFont="1" applyFill="1" applyBorder="1"/>
    <xf numFmtId="0" fontId="1" fillId="46" borderId="2" xfId="0" applyFont="1" applyFill="1" applyBorder="1"/>
    <xf numFmtId="0" fontId="1" fillId="24" borderId="2" xfId="0" applyFont="1" applyFill="1" applyBorder="1"/>
    <xf numFmtId="0" fontId="1" fillId="20" borderId="1" xfId="0" applyFont="1" applyFill="1" applyBorder="1"/>
    <xf numFmtId="0" fontId="1" fillId="20" borderId="2" xfId="0" applyFont="1" applyFill="1" applyBorder="1"/>
    <xf numFmtId="0" fontId="1" fillId="19" borderId="3" xfId="0" applyFont="1" applyFill="1" applyBorder="1"/>
    <xf numFmtId="0" fontId="2" fillId="20" borderId="4" xfId="0" applyFont="1" applyFill="1" applyBorder="1"/>
    <xf numFmtId="0" fontId="2" fillId="43" borderId="1" xfId="0" applyFont="1" applyFill="1" applyBorder="1"/>
    <xf numFmtId="0" fontId="1" fillId="19" borderId="0" xfId="0" applyFont="1" applyFill="1"/>
    <xf numFmtId="0" fontId="2" fillId="20" borderId="0" xfId="0" applyFont="1" applyFill="1"/>
    <xf numFmtId="0" fontId="1" fillId="19" borderId="0" xfId="0" applyFont="1" applyFill="1" applyAlignment="1">
      <alignment horizontal="right"/>
    </xf>
    <xf numFmtId="0" fontId="1" fillId="36" borderId="10" xfId="0" applyFont="1" applyFill="1" applyBorder="1"/>
    <xf numFmtId="0" fontId="1" fillId="5" borderId="12" xfId="0" applyFont="1" applyFill="1" applyBorder="1"/>
    <xf numFmtId="0" fontId="2" fillId="36" borderId="14" xfId="0" applyFont="1" applyFill="1" applyBorder="1"/>
    <xf numFmtId="0" fontId="10" fillId="36" borderId="14" xfId="0" applyFont="1" applyFill="1" applyBorder="1"/>
    <xf numFmtId="0" fontId="0" fillId="36" borderId="14" xfId="0" applyFill="1" applyBorder="1"/>
    <xf numFmtId="0" fontId="10" fillId="36" borderId="18" xfId="0" applyFont="1" applyFill="1" applyBorder="1"/>
    <xf numFmtId="0" fontId="0" fillId="36" borderId="18" xfId="0" applyFill="1" applyBorder="1"/>
    <xf numFmtId="0" fontId="10" fillId="18" borderId="14" xfId="0" applyFont="1" applyFill="1" applyBorder="1"/>
    <xf numFmtId="0" fontId="10" fillId="18" borderId="16" xfId="0" applyFont="1" applyFill="1" applyBorder="1"/>
    <xf numFmtId="0" fontId="5" fillId="47" borderId="2" xfId="0" applyFont="1" applyFill="1" applyBorder="1"/>
    <xf numFmtId="0" fontId="5" fillId="47" borderId="1" xfId="0" applyFont="1" applyFill="1" applyBorder="1"/>
    <xf numFmtId="0" fontId="1" fillId="47" borderId="1" xfId="0" applyFont="1" applyFill="1" applyBorder="1"/>
    <xf numFmtId="0" fontId="5" fillId="47" borderId="14" xfId="0" applyFont="1" applyFill="1" applyBorder="1"/>
    <xf numFmtId="0" fontId="0" fillId="47" borderId="15" xfId="0" applyFill="1" applyBorder="1"/>
    <xf numFmtId="0" fontId="5" fillId="47" borderId="3" xfId="0" applyFont="1" applyFill="1" applyBorder="1"/>
    <xf numFmtId="12" fontId="0" fillId="0" borderId="0" xfId="0" applyNumberFormat="1"/>
    <xf numFmtId="0" fontId="0" fillId="21" borderId="14" xfId="0" applyFill="1" applyBorder="1"/>
    <xf numFmtId="0" fontId="5" fillId="0" borderId="0" xfId="0" applyFont="1"/>
    <xf numFmtId="0" fontId="0" fillId="48" borderId="1" xfId="0" applyFill="1" applyBorder="1"/>
    <xf numFmtId="0" fontId="5" fillId="48" borderId="1" xfId="0" applyFont="1" applyFill="1" applyBorder="1"/>
    <xf numFmtId="0" fontId="0" fillId="34" borderId="15" xfId="0" applyFill="1" applyBorder="1"/>
    <xf numFmtId="0" fontId="5" fillId="34" borderId="14" xfId="0" applyFont="1" applyFill="1" applyBorder="1"/>
    <xf numFmtId="0" fontId="5" fillId="34" borderId="2" xfId="0" applyFont="1" applyFill="1" applyBorder="1"/>
    <xf numFmtId="0" fontId="5" fillId="34" borderId="3" xfId="0" applyFont="1" applyFill="1" applyBorder="1"/>
    <xf numFmtId="0" fontId="0" fillId="0" borderId="26" xfId="0" applyBorder="1"/>
    <xf numFmtId="0" fontId="0" fillId="12" borderId="14" xfId="0" applyFill="1" applyBorder="1"/>
    <xf numFmtId="0" fontId="0" fillId="42" borderId="14" xfId="0" applyFill="1" applyBorder="1" applyAlignment="1">
      <alignment horizontal="center" vertical="center" wrapText="1"/>
    </xf>
    <xf numFmtId="1" fontId="0" fillId="38" borderId="1" xfId="0" applyNumberFormat="1" applyFill="1" applyBorder="1"/>
    <xf numFmtId="0" fontId="9" fillId="38" borderId="1" xfId="0" applyFont="1" applyFill="1" applyBorder="1"/>
    <xf numFmtId="0" fontId="5" fillId="44" borderId="1" xfId="0" applyFont="1" applyFill="1" applyBorder="1"/>
    <xf numFmtId="0" fontId="9" fillId="44" borderId="1" xfId="0" applyFont="1" applyFill="1" applyBorder="1"/>
    <xf numFmtId="0" fontId="0" fillId="42" borderId="15" xfId="0" applyFill="1" applyBorder="1"/>
    <xf numFmtId="0" fontId="5" fillId="42" borderId="2" xfId="0" applyFont="1" applyFill="1" applyBorder="1"/>
    <xf numFmtId="0" fontId="5" fillId="42" borderId="1" xfId="0" applyFont="1" applyFill="1" applyBorder="1"/>
    <xf numFmtId="0" fontId="0" fillId="42" borderId="17" xfId="0" applyFill="1" applyBorder="1" applyAlignment="1">
      <alignment horizontal="center" vertical="center"/>
    </xf>
    <xf numFmtId="0" fontId="0" fillId="42" borderId="17" xfId="0" applyFill="1" applyBorder="1"/>
    <xf numFmtId="0" fontId="9" fillId="32" borderId="1" xfId="0" applyFont="1" applyFill="1" applyBorder="1"/>
    <xf numFmtId="0" fontId="0" fillId="42" borderId="18" xfId="0" applyFill="1" applyBorder="1"/>
    <xf numFmtId="0" fontId="5" fillId="32" borderId="1" xfId="0" applyFont="1" applyFill="1" applyBorder="1"/>
    <xf numFmtId="0" fontId="9" fillId="23" borderId="1" xfId="0" applyFont="1" applyFill="1" applyBorder="1"/>
    <xf numFmtId="0" fontId="0" fillId="51" borderId="14" xfId="0" applyFill="1" applyBorder="1"/>
    <xf numFmtId="0" fontId="0" fillId="51" borderId="18" xfId="0" applyFill="1" applyBorder="1"/>
    <xf numFmtId="0" fontId="0" fillId="51" borderId="0" xfId="0" applyFill="1"/>
    <xf numFmtId="0" fontId="5" fillId="51" borderId="14" xfId="0" applyFont="1" applyFill="1" applyBorder="1"/>
    <xf numFmtId="1" fontId="0" fillId="51" borderId="14" xfId="0" applyNumberFormat="1" applyFill="1" applyBorder="1"/>
    <xf numFmtId="1" fontId="0" fillId="51" borderId="0" xfId="0" applyNumberFormat="1" applyFill="1"/>
    <xf numFmtId="0" fontId="0" fillId="52" borderId="15" xfId="0" applyFill="1" applyBorder="1"/>
    <xf numFmtId="0" fontId="0" fillId="52" borderId="14" xfId="0" applyFill="1" applyBorder="1" applyAlignment="1">
      <alignment horizontal="center" vertical="center"/>
    </xf>
    <xf numFmtId="0" fontId="0" fillId="52" borderId="14" xfId="0" applyFill="1" applyBorder="1"/>
    <xf numFmtId="0" fontId="0" fillId="52" borderId="18" xfId="0" applyFill="1" applyBorder="1"/>
    <xf numFmtId="0" fontId="0" fillId="52" borderId="17" xfId="0" applyFill="1" applyBorder="1"/>
    <xf numFmtId="0" fontId="5" fillId="52" borderId="14" xfId="0" applyFont="1" applyFill="1" applyBorder="1"/>
    <xf numFmtId="1" fontId="0" fillId="52" borderId="14" xfId="0" applyNumberFormat="1" applyFill="1" applyBorder="1"/>
    <xf numFmtId="0" fontId="0" fillId="41" borderId="17" xfId="0" applyFill="1" applyBorder="1"/>
    <xf numFmtId="0" fontId="0" fillId="34" borderId="14" xfId="0" applyFill="1" applyBorder="1"/>
    <xf numFmtId="0" fontId="0" fillId="34" borderId="17" xfId="0" applyFill="1" applyBorder="1"/>
    <xf numFmtId="0" fontId="0" fillId="34" borderId="20" xfId="0" applyFill="1" applyBorder="1"/>
    <xf numFmtId="0" fontId="0" fillId="42" borderId="20" xfId="0" applyFill="1" applyBorder="1"/>
    <xf numFmtId="0" fontId="0" fillId="42" borderId="3" xfId="0" applyFill="1" applyBorder="1"/>
    <xf numFmtId="0" fontId="5" fillId="42" borderId="15" xfId="0" applyFont="1" applyFill="1" applyBorder="1"/>
    <xf numFmtId="0" fontId="0" fillId="51" borderId="29" xfId="0" applyFill="1" applyBorder="1"/>
    <xf numFmtId="0" fontId="0" fillId="51" borderId="30" xfId="0" applyFill="1" applyBorder="1"/>
    <xf numFmtId="0" fontId="0" fillId="51" borderId="31" xfId="0" applyFill="1" applyBorder="1" applyAlignment="1">
      <alignment horizontal="center" vertical="center"/>
    </xf>
    <xf numFmtId="0" fontId="0" fillId="51" borderId="29" xfId="0" applyFill="1" applyBorder="1" applyAlignment="1">
      <alignment horizontal="center" vertical="center" wrapText="1"/>
    </xf>
    <xf numFmtId="0" fontId="11" fillId="0" borderId="0" xfId="0" applyFont="1"/>
    <xf numFmtId="0" fontId="0" fillId="32" borderId="29" xfId="0" applyFill="1" applyBorder="1"/>
    <xf numFmtId="0" fontId="0" fillId="32" borderId="15" xfId="0" applyFill="1" applyBorder="1"/>
    <xf numFmtId="0" fontId="5" fillId="32" borderId="14" xfId="0" applyFont="1" applyFill="1" applyBorder="1"/>
    <xf numFmtId="0" fontId="0" fillId="32" borderId="14" xfId="0" applyFill="1" applyBorder="1"/>
    <xf numFmtId="1" fontId="0" fillId="32" borderId="14" xfId="0" applyNumberFormat="1" applyFill="1" applyBorder="1"/>
    <xf numFmtId="0" fontId="0" fillId="51" borderId="17" xfId="0" applyFill="1" applyBorder="1"/>
    <xf numFmtId="1" fontId="0" fillId="51" borderId="17" xfId="0" applyNumberFormat="1" applyFill="1" applyBorder="1"/>
    <xf numFmtId="0" fontId="0" fillId="53" borderId="0" xfId="0" applyFill="1"/>
    <xf numFmtId="0" fontId="0" fillId="53" borderId="14" xfId="0" applyFill="1" applyBorder="1"/>
    <xf numFmtId="0" fontId="0" fillId="53" borderId="17" xfId="0" applyFill="1" applyBorder="1"/>
    <xf numFmtId="0" fontId="0" fillId="53" borderId="14" xfId="0" applyFill="1" applyBorder="1" applyAlignment="1">
      <alignment horizontal="center"/>
    </xf>
    <xf numFmtId="0" fontId="0" fillId="32" borderId="17" xfId="0" applyFill="1" applyBorder="1" applyAlignment="1">
      <alignment horizontal="center" vertical="center"/>
    </xf>
    <xf numFmtId="0" fontId="0" fillId="32" borderId="32" xfId="0" applyFill="1" applyBorder="1"/>
    <xf numFmtId="0" fontId="0" fillId="32" borderId="33" xfId="0" applyFill="1" applyBorder="1"/>
    <xf numFmtId="0" fontId="0" fillId="53" borderId="15" xfId="0" applyFill="1" applyBorder="1"/>
    <xf numFmtId="0" fontId="5" fillId="53" borderId="14" xfId="0" applyFont="1" applyFill="1" applyBorder="1"/>
    <xf numFmtId="1" fontId="0" fillId="53" borderId="14" xfId="0" applyNumberFormat="1" applyFill="1" applyBorder="1"/>
    <xf numFmtId="1" fontId="0" fillId="53" borderId="17" xfId="0" applyNumberFormat="1" applyFill="1" applyBorder="1"/>
    <xf numFmtId="0" fontId="0" fillId="0" borderId="35" xfId="0" applyBorder="1"/>
    <xf numFmtId="0" fontId="0" fillId="29" borderId="27" xfId="0" applyFill="1" applyBorder="1"/>
    <xf numFmtId="0" fontId="0" fillId="0" borderId="36" xfId="0" applyBorder="1"/>
    <xf numFmtId="0" fontId="0" fillId="29" borderId="35" xfId="0" applyFill="1" applyBorder="1"/>
    <xf numFmtId="0" fontId="0" fillId="54" borderId="29" xfId="0" applyFill="1" applyBorder="1"/>
    <xf numFmtId="0" fontId="0" fillId="54" borderId="33" xfId="0" applyFill="1" applyBorder="1"/>
    <xf numFmtId="0" fontId="0" fillId="54" borderId="14" xfId="0" applyFill="1" applyBorder="1"/>
    <xf numFmtId="0" fontId="0" fillId="54" borderId="29" xfId="0" applyFill="1" applyBorder="1" applyAlignment="1">
      <alignment horizontal="center" vertical="center" wrapText="1"/>
    </xf>
    <xf numFmtId="0" fontId="0" fillId="54" borderId="34" xfId="0" applyFill="1" applyBorder="1" applyAlignment="1">
      <alignment horizontal="center" vertical="center"/>
    </xf>
    <xf numFmtId="0" fontId="0" fillId="29" borderId="39" xfId="0" applyFill="1" applyBorder="1"/>
    <xf numFmtId="0" fontId="0" fillId="29" borderId="40" xfId="0" applyFill="1" applyBorder="1"/>
    <xf numFmtId="0" fontId="0" fillId="54" borderId="32" xfId="0" applyFill="1" applyBorder="1"/>
    <xf numFmtId="0" fontId="5" fillId="54" borderId="14" xfId="0" applyFont="1" applyFill="1" applyBorder="1"/>
    <xf numFmtId="1" fontId="0" fillId="54" borderId="14" xfId="0" applyNumberFormat="1" applyFill="1" applyBorder="1"/>
    <xf numFmtId="0" fontId="0" fillId="54" borderId="17" xfId="0" applyFill="1" applyBorder="1"/>
    <xf numFmtId="1" fontId="0" fillId="54" borderId="17" xfId="0" applyNumberFormat="1" applyFill="1" applyBorder="1"/>
    <xf numFmtId="1" fontId="0" fillId="54" borderId="29" xfId="0" applyNumberFormat="1" applyFill="1" applyBorder="1"/>
    <xf numFmtId="0" fontId="0" fillId="23" borderId="29" xfId="0" applyFill="1" applyBorder="1" applyAlignment="1">
      <alignment horizontal="center"/>
    </xf>
    <xf numFmtId="0" fontId="0" fillId="23" borderId="14" xfId="0" applyFill="1" applyBorder="1"/>
    <xf numFmtId="0" fontId="0" fillId="23" borderId="29" xfId="0" applyFill="1" applyBorder="1"/>
    <xf numFmtId="0" fontId="5" fillId="23" borderId="14" xfId="0" applyFont="1" applyFill="1" applyBorder="1"/>
    <xf numFmtId="1" fontId="0" fillId="23" borderId="14" xfId="0" applyNumberFormat="1" applyFill="1" applyBorder="1"/>
    <xf numFmtId="0" fontId="0" fillId="23" borderId="17" xfId="0" applyFill="1" applyBorder="1"/>
    <xf numFmtId="0" fontId="0" fillId="23" borderId="37" xfId="0" applyFill="1" applyBorder="1" applyAlignment="1">
      <alignment horizontal="center" vertical="center"/>
    </xf>
    <xf numFmtId="0" fontId="0" fillId="23" borderId="33" xfId="0" applyFill="1" applyBorder="1"/>
    <xf numFmtId="1" fontId="0" fillId="23" borderId="29" xfId="0" applyNumberFormat="1" applyFill="1" applyBorder="1"/>
    <xf numFmtId="0" fontId="0" fillId="23" borderId="30" xfId="0" applyFill="1" applyBorder="1"/>
    <xf numFmtId="0" fontId="0" fillId="55" borderId="29" xfId="0" applyFill="1" applyBorder="1"/>
    <xf numFmtId="0" fontId="0" fillId="29" borderId="41" xfId="0" applyFill="1" applyBorder="1"/>
    <xf numFmtId="0" fontId="0" fillId="0" borderId="43" xfId="0" applyBorder="1"/>
    <xf numFmtId="0" fontId="0" fillId="0" borderId="44" xfId="0" applyBorder="1"/>
    <xf numFmtId="0" fontId="0" fillId="0" borderId="38" xfId="0" applyBorder="1"/>
    <xf numFmtId="0" fontId="0" fillId="0" borderId="45" xfId="0" applyBorder="1"/>
    <xf numFmtId="0" fontId="0" fillId="23" borderId="47" xfId="0" applyFill="1" applyBorder="1"/>
    <xf numFmtId="0" fontId="0" fillId="0" borderId="41" xfId="0" applyBorder="1"/>
    <xf numFmtId="0" fontId="0" fillId="29" borderId="48" xfId="0" applyFill="1" applyBorder="1"/>
    <xf numFmtId="0" fontId="0" fillId="29" borderId="46" xfId="0" applyFill="1" applyBorder="1"/>
    <xf numFmtId="0" fontId="0" fillId="29" borderId="42" xfId="0" applyFill="1" applyBorder="1"/>
    <xf numFmtId="0" fontId="0" fillId="55" borderId="33" xfId="0" applyFill="1" applyBorder="1" applyAlignment="1">
      <alignment horizontal="center" vertical="center"/>
    </xf>
    <xf numFmtId="0" fontId="0" fillId="55" borderId="33" xfId="0" applyFill="1" applyBorder="1"/>
    <xf numFmtId="0" fontId="0" fillId="55" borderId="30" xfId="0" applyFill="1" applyBorder="1"/>
    <xf numFmtId="0" fontId="0" fillId="0" borderId="17" xfId="0" applyBorder="1"/>
    <xf numFmtId="0" fontId="0" fillId="9" borderId="29" xfId="0" applyFill="1" applyBorder="1"/>
    <xf numFmtId="0" fontId="0" fillId="0" borderId="46" xfId="0" applyBorder="1"/>
    <xf numFmtId="0" fontId="0" fillId="9" borderId="33" xfId="0" applyFill="1" applyBorder="1"/>
    <xf numFmtId="0" fontId="0" fillId="9" borderId="15" xfId="0" applyFill="1" applyBorder="1"/>
    <xf numFmtId="0" fontId="0" fillId="47" borderId="0" xfId="0" applyFill="1"/>
    <xf numFmtId="0" fontId="0" fillId="47" borderId="14" xfId="0" applyFill="1" applyBorder="1"/>
    <xf numFmtId="0" fontId="0" fillId="47" borderId="20" xfId="0" applyFill="1" applyBorder="1"/>
    <xf numFmtId="0" fontId="0" fillId="47" borderId="17" xfId="0" applyFill="1" applyBorder="1"/>
    <xf numFmtId="0" fontId="5" fillId="47" borderId="0" xfId="0" applyFont="1" applyFill="1"/>
    <xf numFmtId="0" fontId="0" fillId="9" borderId="20" xfId="0" applyFill="1" applyBorder="1"/>
    <xf numFmtId="0" fontId="0" fillId="34" borderId="18" xfId="0" applyFill="1" applyBorder="1"/>
    <xf numFmtId="0" fontId="5" fillId="34" borderId="15" xfId="0" applyFont="1" applyFill="1" applyBorder="1"/>
    <xf numFmtId="0" fontId="5" fillId="36" borderId="14" xfId="0" applyFont="1" applyFill="1" applyBorder="1"/>
    <xf numFmtId="0" fontId="0" fillId="9" borderId="30" xfId="0" applyFill="1" applyBorder="1"/>
    <xf numFmtId="0" fontId="0" fillId="41" borderId="0" xfId="0" applyFill="1"/>
    <xf numFmtId="0" fontId="0" fillId="23" borderId="20" xfId="0" applyFill="1" applyBorder="1"/>
    <xf numFmtId="0" fontId="0" fillId="23" borderId="15" xfId="0" applyFill="1" applyBorder="1"/>
    <xf numFmtId="0" fontId="0" fillId="23" borderId="49" xfId="0" applyFill="1" applyBorder="1"/>
    <xf numFmtId="0" fontId="0" fillId="56" borderId="0" xfId="0" applyFill="1"/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left" vertical="center"/>
    </xf>
    <xf numFmtId="1" fontId="0" fillId="41" borderId="21" xfId="0" applyNumberFormat="1" applyFill="1" applyBorder="1" applyAlignment="1">
      <alignment horizontal="center"/>
    </xf>
    <xf numFmtId="1" fontId="0" fillId="41" borderId="15" xfId="0" applyNumberFormat="1" applyFill="1" applyBorder="1" applyAlignment="1">
      <alignment horizontal="center"/>
    </xf>
    <xf numFmtId="0" fontId="0" fillId="18" borderId="18" xfId="0" applyFill="1" applyBorder="1"/>
    <xf numFmtId="0" fontId="0" fillId="57" borderId="0" xfId="0" applyFill="1"/>
    <xf numFmtId="0" fontId="0" fillId="51" borderId="15" xfId="0" applyFill="1" applyBorder="1"/>
    <xf numFmtId="0" fontId="0" fillId="51" borderId="20" xfId="0" applyFill="1" applyBorder="1"/>
    <xf numFmtId="0" fontId="0" fillId="54" borderId="15" xfId="0" applyFill="1" applyBorder="1"/>
    <xf numFmtId="0" fontId="0" fillId="54" borderId="20" xfId="0" applyFill="1" applyBorder="1"/>
    <xf numFmtId="0" fontId="0" fillId="54" borderId="16" xfId="0" applyFill="1" applyBorder="1"/>
    <xf numFmtId="0" fontId="0" fillId="29" borderId="1" xfId="0" applyFill="1" applyBorder="1"/>
    <xf numFmtId="0" fontId="11" fillId="29" borderId="4" xfId="0" applyFont="1" applyFill="1" applyBorder="1"/>
    <xf numFmtId="0" fontId="13" fillId="0" borderId="0" xfId="0" applyFont="1"/>
    <xf numFmtId="0" fontId="5" fillId="29" borderId="2" xfId="0" applyFont="1" applyFill="1" applyBorder="1"/>
    <xf numFmtId="0" fontId="0" fillId="29" borderId="6" xfId="0" applyFill="1" applyBorder="1"/>
    <xf numFmtId="0" fontId="5" fillId="29" borderId="4" xfId="0" applyFont="1" applyFill="1" applyBorder="1"/>
    <xf numFmtId="0" fontId="0" fillId="29" borderId="3" xfId="0" applyFill="1" applyBorder="1"/>
    <xf numFmtId="0" fontId="1" fillId="29" borderId="3" xfId="0" applyFont="1" applyFill="1" applyBorder="1"/>
    <xf numFmtId="0" fontId="1" fillId="29" borderId="12" xfId="0" applyFont="1" applyFill="1" applyBorder="1"/>
    <xf numFmtId="0" fontId="9" fillId="29" borderId="13" xfId="0" applyFont="1" applyFill="1" applyBorder="1"/>
    <xf numFmtId="0" fontId="5" fillId="36" borderId="2" xfId="0" applyFont="1" applyFill="1" applyBorder="1"/>
    <xf numFmtId="0" fontId="0" fillId="36" borderId="1" xfId="0" applyFill="1" applyBorder="1"/>
    <xf numFmtId="0" fontId="9" fillId="36" borderId="4" xfId="0" applyFont="1" applyFill="1" applyBorder="1"/>
    <xf numFmtId="0" fontId="9" fillId="36" borderId="13" xfId="0" applyFont="1" applyFill="1" applyBorder="1"/>
    <xf numFmtId="0" fontId="15" fillId="36" borderId="1" xfId="0" applyFont="1" applyFill="1" applyBorder="1"/>
    <xf numFmtId="0" fontId="0" fillId="36" borderId="6" xfId="0" applyFill="1" applyBorder="1"/>
    <xf numFmtId="0" fontId="5" fillId="36" borderId="10" xfId="0" applyFont="1" applyFill="1" applyBorder="1"/>
    <xf numFmtId="0" fontId="0" fillId="36" borderId="7" xfId="0" applyFill="1" applyBorder="1"/>
    <xf numFmtId="3" fontId="0" fillId="36" borderId="7" xfId="0" applyNumberFormat="1" applyFill="1" applyBorder="1"/>
    <xf numFmtId="3" fontId="0" fillId="36" borderId="8" xfId="0" applyNumberFormat="1" applyFill="1" applyBorder="1"/>
    <xf numFmtId="0" fontId="5" fillId="0" borderId="50" xfId="0" applyFont="1" applyBorder="1"/>
    <xf numFmtId="0" fontId="5" fillId="0" borderId="21" xfId="0" applyFont="1" applyBorder="1"/>
    <xf numFmtId="0" fontId="1" fillId="0" borderId="18" xfId="0" applyFont="1" applyBorder="1"/>
    <xf numFmtId="0" fontId="0" fillId="0" borderId="15" xfId="0" applyBorder="1"/>
    <xf numFmtId="0" fontId="3" fillId="0" borderId="18" xfId="0" applyFont="1" applyBorder="1"/>
    <xf numFmtId="0" fontId="3" fillId="0" borderId="19" xfId="0" applyFont="1" applyBorder="1"/>
    <xf numFmtId="0" fontId="0" fillId="0" borderId="20" xfId="0" applyBorder="1"/>
    <xf numFmtId="0" fontId="1" fillId="0" borderId="2" xfId="0" applyFont="1" applyBorder="1"/>
    <xf numFmtId="0" fontId="5" fillId="0" borderId="28" xfId="0" applyFont="1" applyBorder="1"/>
    <xf numFmtId="0" fontId="0" fillId="0" borderId="6" xfId="0" applyBorder="1"/>
    <xf numFmtId="0" fontId="3" fillId="0" borderId="3" xfId="0" applyFont="1" applyBorder="1"/>
    <xf numFmtId="0" fontId="3" fillId="0" borderId="12" xfId="0" applyFont="1" applyBorder="1"/>
    <xf numFmtId="0" fontId="1" fillId="0" borderId="10" xfId="0" applyFont="1" applyBorder="1"/>
    <xf numFmtId="0" fontId="0" fillId="0" borderId="7" xfId="0" applyBorder="1"/>
    <xf numFmtId="0" fontId="0" fillId="0" borderId="8" xfId="0" applyBorder="1"/>
    <xf numFmtId="0" fontId="0" fillId="0" borderId="18" xfId="0" applyBorder="1"/>
    <xf numFmtId="0" fontId="0" fillId="0" borderId="50" xfId="0" applyBorder="1"/>
    <xf numFmtId="0" fontId="0" fillId="0" borderId="21" xfId="0" applyBorder="1"/>
    <xf numFmtId="0" fontId="0" fillId="0" borderId="19" xfId="0" applyBorder="1"/>
    <xf numFmtId="0" fontId="16" fillId="0" borderId="0" xfId="0" applyFont="1"/>
    <xf numFmtId="0" fontId="5" fillId="0" borderId="16" xfId="0" applyFont="1" applyBorder="1"/>
    <xf numFmtId="0" fontId="2" fillId="21" borderId="14" xfId="0" applyFont="1" applyFill="1" applyBorder="1"/>
    <xf numFmtId="0" fontId="1" fillId="34" borderId="1" xfId="0" applyFont="1" applyFill="1" applyBorder="1"/>
    <xf numFmtId="0" fontId="2" fillId="12" borderId="14" xfId="0" applyFont="1" applyFill="1" applyBorder="1"/>
    <xf numFmtId="0" fontId="1" fillId="42" borderId="1" xfId="0" applyFont="1" applyFill="1" applyBorder="1"/>
    <xf numFmtId="0" fontId="1" fillId="52" borderId="14" xfId="0" applyFont="1" applyFill="1" applyBorder="1"/>
    <xf numFmtId="0" fontId="1" fillId="51" borderId="14" xfId="0" applyFont="1" applyFill="1" applyBorder="1"/>
    <xf numFmtId="0" fontId="1" fillId="32" borderId="14" xfId="0" applyFont="1" applyFill="1" applyBorder="1"/>
    <xf numFmtId="0" fontId="1" fillId="53" borderId="14" xfId="0" applyFont="1" applyFill="1" applyBorder="1"/>
    <xf numFmtId="0" fontId="1" fillId="54" borderId="14" xfId="0" applyFont="1" applyFill="1" applyBorder="1"/>
    <xf numFmtId="0" fontId="1" fillId="23" borderId="14" xfId="0" applyFont="1" applyFill="1" applyBorder="1"/>
    <xf numFmtId="0" fontId="1" fillId="23" borderId="18" xfId="0" applyFont="1" applyFill="1" applyBorder="1"/>
    <xf numFmtId="0" fontId="1" fillId="23" borderId="15" xfId="0" applyFont="1" applyFill="1" applyBorder="1"/>
    <xf numFmtId="0" fontId="1" fillId="49" borderId="1" xfId="0" applyFont="1" applyFill="1" applyBorder="1"/>
    <xf numFmtId="0" fontId="2" fillId="50" borderId="1" xfId="0" applyFont="1" applyFill="1" applyBorder="1"/>
    <xf numFmtId="0" fontId="1" fillId="49" borderId="1" xfId="0" applyFont="1" applyFill="1" applyBorder="1" applyAlignment="1">
      <alignment horizontal="right"/>
    </xf>
    <xf numFmtId="0" fontId="3" fillId="0" borderId="26" xfId="0" applyFont="1" applyBorder="1"/>
    <xf numFmtId="0" fontId="5" fillId="0" borderId="4" xfId="0" applyFont="1" applyBorder="1"/>
    <xf numFmtId="0" fontId="1" fillId="0" borderId="3" xfId="0" applyFont="1" applyBorder="1"/>
    <xf numFmtId="0" fontId="1" fillId="0" borderId="12" xfId="0" applyFont="1" applyBorder="1"/>
    <xf numFmtId="0" fontId="5" fillId="0" borderId="2" xfId="0" applyFont="1" applyBorder="1"/>
    <xf numFmtId="0" fontId="5" fillId="0" borderId="10" xfId="0" applyFont="1" applyBorder="1"/>
    <xf numFmtId="3" fontId="0" fillId="0" borderId="15" xfId="0" applyNumberFormat="1" applyBorder="1"/>
    <xf numFmtId="0" fontId="0" fillId="0" borderId="16" xfId="0" applyBorder="1"/>
    <xf numFmtId="3" fontId="0" fillId="0" borderId="20" xfId="0" applyNumberFormat="1" applyBorder="1"/>
    <xf numFmtId="0" fontId="0" fillId="0" borderId="4" xfId="0" applyBorder="1"/>
    <xf numFmtId="0" fontId="0" fillId="0" borderId="10" xfId="0" applyBorder="1"/>
    <xf numFmtId="0" fontId="0" fillId="0" borderId="3" xfId="0" applyBorder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7" fillId="0" borderId="0" xfId="0" applyFont="1"/>
    <xf numFmtId="3" fontId="6" fillId="0" borderId="14" xfId="0" applyNumberFormat="1" applyFont="1" applyBorder="1"/>
    <xf numFmtId="0" fontId="6" fillId="0" borderId="14" xfId="0" applyFont="1" applyBorder="1"/>
    <xf numFmtId="0" fontId="2" fillId="0" borderId="3" xfId="0" applyFont="1" applyBorder="1"/>
    <xf numFmtId="3" fontId="0" fillId="0" borderId="7" xfId="0" applyNumberFormat="1" applyBorder="1"/>
    <xf numFmtId="0" fontId="1" fillId="36" borderId="5" xfId="0" applyFont="1" applyFill="1" applyBorder="1"/>
    <xf numFmtId="0" fontId="0" fillId="36" borderId="0" xfId="0" applyFill="1"/>
    <xf numFmtId="0" fontId="3" fillId="36" borderId="0" xfId="0" applyFont="1" applyFill="1"/>
    <xf numFmtId="0" fontId="3" fillId="36" borderId="22" xfId="0" applyFont="1" applyFill="1" applyBorder="1"/>
    <xf numFmtId="0" fontId="0" fillId="36" borderId="25" xfId="0" applyFill="1" applyBorder="1" applyAlignment="1">
      <alignment horizontal="right"/>
    </xf>
    <xf numFmtId="0" fontId="0" fillId="36" borderId="10" xfId="0" applyFill="1" applyBorder="1"/>
    <xf numFmtId="0" fontId="0" fillId="36" borderId="8" xfId="0" applyFill="1" applyBorder="1"/>
    <xf numFmtId="0" fontId="0" fillId="36" borderId="24" xfId="0" applyFill="1" applyBorder="1"/>
    <xf numFmtId="0" fontId="0" fillId="36" borderId="15" xfId="0" applyFill="1" applyBorder="1"/>
    <xf numFmtId="0" fontId="0" fillId="36" borderId="21" xfId="0" applyFill="1" applyBorder="1"/>
    <xf numFmtId="0" fontId="0" fillId="36" borderId="16" xfId="0" applyFill="1" applyBorder="1"/>
    <xf numFmtId="0" fontId="7" fillId="36" borderId="0" xfId="0" applyFont="1" applyFill="1"/>
    <xf numFmtId="0" fontId="0" fillId="36" borderId="17" xfId="0" applyFill="1" applyBorder="1"/>
    <xf numFmtId="0" fontId="0" fillId="36" borderId="20" xfId="0" applyFill="1" applyBorder="1"/>
    <xf numFmtId="0" fontId="5" fillId="36" borderId="4" xfId="0" applyFont="1" applyFill="1" applyBorder="1"/>
    <xf numFmtId="0" fontId="3" fillId="36" borderId="1" xfId="0" applyFont="1" applyFill="1" applyBorder="1"/>
    <xf numFmtId="0" fontId="1" fillId="36" borderId="2" xfId="0" applyFont="1" applyFill="1" applyBorder="1"/>
    <xf numFmtId="0" fontId="0" fillId="36" borderId="23" xfId="0" applyFill="1" applyBorder="1"/>
    <xf numFmtId="0" fontId="0" fillId="36" borderId="1" xfId="0" applyFill="1" applyBorder="1" applyAlignment="1">
      <alignment horizontal="right"/>
    </xf>
    <xf numFmtId="3" fontId="0" fillId="36" borderId="0" xfId="0" applyNumberFormat="1" applyFill="1"/>
    <xf numFmtId="3" fontId="0" fillId="36" borderId="1" xfId="0" applyNumberFormat="1" applyFill="1" applyBorder="1"/>
    <xf numFmtId="0" fontId="0" fillId="36" borderId="7" xfId="0" applyFill="1" applyBorder="1" applyAlignment="1">
      <alignment horizontal="right"/>
    </xf>
    <xf numFmtId="0" fontId="0" fillId="36" borderId="0" xfId="0" applyFill="1" applyAlignment="1">
      <alignment horizontal="center"/>
    </xf>
    <xf numFmtId="0" fontId="11" fillId="0" borderId="14" xfId="0" applyFont="1" applyBorder="1"/>
    <xf numFmtId="0" fontId="1" fillId="58" borderId="5" xfId="0" applyFont="1" applyFill="1" applyBorder="1"/>
    <xf numFmtId="0" fontId="0" fillId="58" borderId="0" xfId="0" applyFill="1"/>
    <xf numFmtId="0" fontId="3" fillId="58" borderId="0" xfId="0" applyFont="1" applyFill="1"/>
    <xf numFmtId="0" fontId="5" fillId="58" borderId="4" xfId="0" applyFont="1" applyFill="1" applyBorder="1"/>
    <xf numFmtId="0" fontId="3" fillId="58" borderId="1" xfId="0" applyFont="1" applyFill="1" applyBorder="1"/>
    <xf numFmtId="0" fontId="1" fillId="58" borderId="2" xfId="0" applyFont="1" applyFill="1" applyBorder="1"/>
    <xf numFmtId="0" fontId="0" fillId="58" borderId="1" xfId="0" applyFill="1" applyBorder="1"/>
    <xf numFmtId="0" fontId="5" fillId="58" borderId="22" xfId="0" applyFont="1" applyFill="1" applyBorder="1"/>
    <xf numFmtId="0" fontId="0" fillId="58" borderId="25" xfId="0" applyFill="1" applyBorder="1" applyAlignment="1">
      <alignment horizontal="right"/>
    </xf>
    <xf numFmtId="0" fontId="9" fillId="58" borderId="14" xfId="0" applyFont="1" applyFill="1" applyBorder="1"/>
    <xf numFmtId="0" fontId="0" fillId="58" borderId="15" xfId="0" applyFill="1" applyBorder="1"/>
    <xf numFmtId="0" fontId="0" fillId="58" borderId="18" xfId="0" applyFill="1" applyBorder="1"/>
    <xf numFmtId="0" fontId="12" fillId="58" borderId="1" xfId="0" applyFont="1" applyFill="1" applyBorder="1"/>
    <xf numFmtId="0" fontId="12" fillId="58" borderId="10" xfId="0" applyFont="1" applyFill="1" applyBorder="1"/>
    <xf numFmtId="0" fontId="12" fillId="58" borderId="12" xfId="0" applyFont="1" applyFill="1" applyBorder="1"/>
    <xf numFmtId="0" fontId="11" fillId="58" borderId="14" xfId="0" applyFont="1" applyFill="1" applyBorder="1"/>
    <xf numFmtId="0" fontId="12" fillId="58" borderId="0" xfId="0" applyFont="1" applyFill="1"/>
    <xf numFmtId="0" fontId="0" fillId="58" borderId="2" xfId="0" applyFill="1" applyBorder="1"/>
    <xf numFmtId="0" fontId="0" fillId="58" borderId="1" xfId="0" applyFill="1" applyBorder="1" applyAlignment="1">
      <alignment horizontal="right"/>
    </xf>
    <xf numFmtId="0" fontId="0" fillId="58" borderId="8" xfId="0" applyFill="1" applyBorder="1"/>
    <xf numFmtId="0" fontId="0" fillId="58" borderId="9" xfId="0" applyFill="1" applyBorder="1"/>
    <xf numFmtId="0" fontId="0" fillId="58" borderId="10" xfId="0" applyFill="1" applyBorder="1"/>
    <xf numFmtId="0" fontId="0" fillId="58" borderId="5" xfId="0" applyFill="1" applyBorder="1"/>
    <xf numFmtId="0" fontId="0" fillId="58" borderId="11" xfId="0" applyFill="1" applyBorder="1"/>
    <xf numFmtId="0" fontId="0" fillId="58" borderId="12" xfId="0" applyFill="1" applyBorder="1"/>
    <xf numFmtId="0" fontId="0" fillId="58" borderId="13" xfId="0" applyFill="1" applyBorder="1"/>
    <xf numFmtId="0" fontId="0" fillId="58" borderId="4" xfId="0" applyFill="1" applyBorder="1"/>
    <xf numFmtId="0" fontId="7" fillId="58" borderId="0" xfId="0" applyFont="1" applyFill="1"/>
    <xf numFmtId="0" fontId="0" fillId="58" borderId="7" xfId="0" applyFill="1" applyBorder="1" applyAlignment="1">
      <alignment horizontal="right"/>
    </xf>
    <xf numFmtId="0" fontId="12" fillId="58" borderId="2" xfId="0" applyFont="1" applyFill="1" applyBorder="1"/>
    <xf numFmtId="0" fontId="11" fillId="58" borderId="4" xfId="0" applyFont="1" applyFill="1" applyBorder="1"/>
    <xf numFmtId="0" fontId="9" fillId="58" borderId="0" xfId="0" applyFont="1" applyFill="1"/>
    <xf numFmtId="3" fontId="0" fillId="58" borderId="0" xfId="0" applyNumberFormat="1" applyFill="1"/>
    <xf numFmtId="0" fontId="0" fillId="58" borderId="0" xfId="0" applyFill="1" applyAlignment="1">
      <alignment horizontal="center"/>
    </xf>
    <xf numFmtId="0" fontId="12" fillId="58" borderId="7" xfId="0" applyFont="1" applyFill="1" applyBorder="1"/>
    <xf numFmtId="0" fontId="12" fillId="58" borderId="14" xfId="0" applyFont="1" applyFill="1" applyBorder="1"/>
    <xf numFmtId="0" fontId="11" fillId="58" borderId="28" xfId="0" applyFont="1" applyFill="1" applyBorder="1"/>
    <xf numFmtId="0" fontId="13" fillId="58" borderId="0" xfId="0" applyFont="1" applyFill="1"/>
    <xf numFmtId="0" fontId="0" fillId="58" borderId="14" xfId="0" applyFill="1" applyBorder="1"/>
    <xf numFmtId="0" fontId="0" fillId="58" borderId="21" xfId="0" applyFill="1" applyBorder="1"/>
    <xf numFmtId="0" fontId="0" fillId="58" borderId="16" xfId="0" applyFill="1" applyBorder="1"/>
    <xf numFmtId="0" fontId="0" fillId="58" borderId="20" xfId="0" applyFill="1" applyBorder="1"/>
    <xf numFmtId="0" fontId="0" fillId="58" borderId="17" xfId="0" applyFill="1" applyBorder="1"/>
    <xf numFmtId="0" fontId="3" fillId="58" borderId="22" xfId="0" applyFont="1" applyFill="1" applyBorder="1"/>
    <xf numFmtId="0" fontId="5" fillId="58" borderId="0" xfId="0" applyFont="1" applyFill="1"/>
    <xf numFmtId="3" fontId="0" fillId="58" borderId="1" xfId="0" applyNumberFormat="1" applyFill="1" applyBorder="1"/>
    <xf numFmtId="0" fontId="9" fillId="0" borderId="4" xfId="0" applyFont="1" applyBorder="1"/>
    <xf numFmtId="0" fontId="9" fillId="0" borderId="28" xfId="0" applyFont="1" applyBorder="1"/>
    <xf numFmtId="0" fontId="9" fillId="0" borderId="51" xfId="0" applyFont="1" applyBorder="1"/>
    <xf numFmtId="0" fontId="9" fillId="0" borderId="13" xfId="0" applyFont="1" applyBorder="1"/>
    <xf numFmtId="3" fontId="0" fillId="0" borderId="8" xfId="0" applyNumberFormat="1" applyBorder="1"/>
    <xf numFmtId="0" fontId="0" fillId="51" borderId="17" xfId="0" applyFill="1" applyBorder="1" applyAlignment="1">
      <alignment horizontal="center"/>
    </xf>
    <xf numFmtId="0" fontId="0" fillId="51" borderId="1" xfId="0" applyFill="1" applyBorder="1" applyAlignment="1">
      <alignment horizontal="center"/>
    </xf>
    <xf numFmtId="0" fontId="0" fillId="51" borderId="1" xfId="0" applyFill="1" applyBorder="1"/>
    <xf numFmtId="0" fontId="0" fillId="29" borderId="1" xfId="0" applyFill="1" applyBorder="1" applyAlignment="1">
      <alignment horizontal="center"/>
    </xf>
    <xf numFmtId="0" fontId="18" fillId="21" borderId="50" xfId="0" applyFont="1" applyFill="1" applyBorder="1"/>
    <xf numFmtId="0" fontId="18" fillId="21" borderId="16" xfId="0" applyFont="1" applyFill="1" applyBorder="1"/>
    <xf numFmtId="0" fontId="18" fillId="21" borderId="21" xfId="0" applyFont="1" applyFill="1" applyBorder="1"/>
    <xf numFmtId="0" fontId="18" fillId="21" borderId="18" xfId="0" applyFont="1" applyFill="1" applyBorder="1"/>
    <xf numFmtId="0" fontId="19" fillId="21" borderId="14" xfId="0" applyFont="1" applyFill="1" applyBorder="1"/>
    <xf numFmtId="0" fontId="19" fillId="21" borderId="15" xfId="0" applyFont="1" applyFill="1" applyBorder="1"/>
    <xf numFmtId="0" fontId="18" fillId="21" borderId="19" xfId="0" applyFont="1" applyFill="1" applyBorder="1"/>
    <xf numFmtId="0" fontId="19" fillId="21" borderId="17" xfId="0" applyFont="1" applyFill="1" applyBorder="1"/>
    <xf numFmtId="0" fontId="19" fillId="21" borderId="20" xfId="0" applyFont="1" applyFill="1" applyBorder="1"/>
    <xf numFmtId="0" fontId="20" fillId="30" borderId="4" xfId="0" applyFont="1" applyFill="1" applyBorder="1"/>
    <xf numFmtId="0" fontId="20" fillId="30" borderId="3" xfId="0" applyFont="1" applyFill="1" applyBorder="1"/>
    <xf numFmtId="0" fontId="20" fillId="30" borderId="12" xfId="0" applyFont="1" applyFill="1" applyBorder="1"/>
    <xf numFmtId="0" fontId="20" fillId="30" borderId="2" xfId="0" applyFont="1" applyFill="1" applyBorder="1"/>
    <xf numFmtId="0" fontId="21" fillId="30" borderId="1" xfId="0" applyFont="1" applyFill="1" applyBorder="1"/>
    <xf numFmtId="0" fontId="21" fillId="30" borderId="6" xfId="0" applyFont="1" applyFill="1" applyBorder="1"/>
    <xf numFmtId="0" fontId="20" fillId="30" borderId="10" xfId="0" applyFont="1" applyFill="1" applyBorder="1"/>
    <xf numFmtId="0" fontId="21" fillId="30" borderId="7" xfId="0" applyFont="1" applyFill="1" applyBorder="1"/>
    <xf numFmtId="0" fontId="21" fillId="30" borderId="8" xfId="0" applyFont="1" applyFill="1" applyBorder="1"/>
    <xf numFmtId="0" fontId="3" fillId="12" borderId="4" xfId="0" applyFont="1" applyFill="1" applyBorder="1"/>
    <xf numFmtId="0" fontId="3" fillId="12" borderId="3" xfId="0" applyFont="1" applyFill="1" applyBorder="1"/>
    <xf numFmtId="0" fontId="3" fillId="12" borderId="12" xfId="0" applyFont="1" applyFill="1" applyBorder="1"/>
    <xf numFmtId="0" fontId="3" fillId="12" borderId="2" xfId="0" applyFont="1" applyFill="1" applyBorder="1"/>
    <xf numFmtId="0" fontId="16" fillId="12" borderId="1" xfId="0" applyFont="1" applyFill="1" applyBorder="1"/>
    <xf numFmtId="0" fontId="16" fillId="12" borderId="6" xfId="0" applyFont="1" applyFill="1" applyBorder="1"/>
    <xf numFmtId="0" fontId="3" fillId="12" borderId="10" xfId="0" applyFont="1" applyFill="1" applyBorder="1"/>
    <xf numFmtId="0" fontId="16" fillId="12" borderId="7" xfId="0" applyFont="1" applyFill="1" applyBorder="1"/>
    <xf numFmtId="0" fontId="16" fillId="12" borderId="8" xfId="0" applyFont="1" applyFill="1" applyBorder="1"/>
    <xf numFmtId="0" fontId="14" fillId="59" borderId="1" xfId="0" applyFont="1" applyFill="1" applyBorder="1"/>
    <xf numFmtId="0" fontId="14" fillId="60" borderId="1" xfId="0" applyFont="1" applyFill="1" applyBorder="1"/>
    <xf numFmtId="2" fontId="14" fillId="60" borderId="1" xfId="0" applyNumberFormat="1" applyFont="1" applyFill="1" applyBorder="1"/>
    <xf numFmtId="0" fontId="9" fillId="60" borderId="1" xfId="0" applyFont="1" applyFill="1" applyBorder="1"/>
    <xf numFmtId="0" fontId="0" fillId="9" borderId="47" xfId="0" applyFill="1" applyBorder="1"/>
    <xf numFmtId="0" fontId="0" fillId="61" borderId="14" xfId="0" applyFill="1" applyBorder="1"/>
    <xf numFmtId="0" fontId="0" fillId="61" borderId="17" xfId="0" applyFill="1" applyBorder="1"/>
    <xf numFmtId="0" fontId="0" fillId="61" borderId="33" xfId="0" applyFill="1" applyBorder="1"/>
    <xf numFmtId="0" fontId="0" fillId="61" borderId="29" xfId="0" applyFill="1" applyBorder="1"/>
    <xf numFmtId="0" fontId="5" fillId="38" borderId="4" xfId="0" applyFont="1" applyFill="1" applyBorder="1"/>
    <xf numFmtId="0" fontId="5" fillId="38" borderId="3" xfId="0" applyFont="1" applyFill="1" applyBorder="1"/>
    <xf numFmtId="0" fontId="1" fillId="38" borderId="3" xfId="0" applyFont="1" applyFill="1" applyBorder="1"/>
    <xf numFmtId="0" fontId="1" fillId="38" borderId="12" xfId="0" applyFont="1" applyFill="1" applyBorder="1"/>
    <xf numFmtId="0" fontId="5" fillId="38" borderId="2" xfId="0" applyFont="1" applyFill="1" applyBorder="1"/>
    <xf numFmtId="0" fontId="2" fillId="38" borderId="4" xfId="0" applyFont="1" applyFill="1" applyBorder="1"/>
    <xf numFmtId="0" fontId="2" fillId="38" borderId="13" xfId="0" applyFont="1" applyFill="1" applyBorder="1"/>
    <xf numFmtId="0" fontId="0" fillId="38" borderId="6" xfId="0" applyFill="1" applyBorder="1"/>
    <xf numFmtId="0" fontId="5" fillId="38" borderId="10" xfId="0" applyFont="1" applyFill="1" applyBorder="1"/>
    <xf numFmtId="0" fontId="0" fillId="38" borderId="7" xfId="0" applyFill="1" applyBorder="1"/>
    <xf numFmtId="0" fontId="0" fillId="38" borderId="8" xfId="0" applyFill="1" applyBorder="1"/>
    <xf numFmtId="0" fontId="0" fillId="38" borderId="4" xfId="0" applyFill="1" applyBorder="1"/>
    <xf numFmtId="0" fontId="0" fillId="38" borderId="12" xfId="0" applyFill="1" applyBorder="1"/>
    <xf numFmtId="0" fontId="0" fillId="38" borderId="2" xfId="0" applyFill="1" applyBorder="1"/>
    <xf numFmtId="0" fontId="0" fillId="38" borderId="10" xfId="0" applyFill="1" applyBorder="1"/>
    <xf numFmtId="0" fontId="5" fillId="61" borderId="4" xfId="0" applyFont="1" applyFill="1" applyBorder="1"/>
    <xf numFmtId="0" fontId="3" fillId="61" borderId="1" xfId="0" applyFont="1" applyFill="1" applyBorder="1"/>
    <xf numFmtId="0" fontId="3" fillId="61" borderId="6" xfId="0" applyFont="1" applyFill="1" applyBorder="1"/>
    <xf numFmtId="0" fontId="1" fillId="61" borderId="2" xfId="0" applyFont="1" applyFill="1" applyBorder="1"/>
    <xf numFmtId="0" fontId="0" fillId="61" borderId="1" xfId="0" applyFill="1" applyBorder="1"/>
    <xf numFmtId="0" fontId="0" fillId="61" borderId="6" xfId="0" applyFill="1" applyBorder="1"/>
    <xf numFmtId="0" fontId="1" fillId="61" borderId="10" xfId="0" applyFont="1" applyFill="1" applyBorder="1"/>
    <xf numFmtId="0" fontId="0" fillId="61" borderId="7" xfId="0" applyFill="1" applyBorder="1"/>
    <xf numFmtId="0" fontId="0" fillId="61" borderId="8" xfId="0" applyFill="1" applyBorder="1"/>
    <xf numFmtId="0" fontId="0" fillId="61" borderId="4" xfId="0" applyFill="1" applyBorder="1"/>
    <xf numFmtId="0" fontId="0" fillId="61" borderId="12" xfId="0" applyFill="1" applyBorder="1"/>
    <xf numFmtId="0" fontId="0" fillId="61" borderId="2" xfId="0" applyFill="1" applyBorder="1"/>
    <xf numFmtId="0" fontId="0" fillId="61" borderId="10" xfId="0" applyFill="1" applyBorder="1"/>
    <xf numFmtId="0" fontId="3" fillId="32" borderId="3" xfId="0" applyFont="1" applyFill="1" applyBorder="1"/>
    <xf numFmtId="0" fontId="3" fillId="32" borderId="12" xfId="0" applyFont="1" applyFill="1" applyBorder="1"/>
    <xf numFmtId="0" fontId="1" fillId="32" borderId="2" xfId="0" applyFont="1" applyFill="1" applyBorder="1"/>
    <xf numFmtId="0" fontId="0" fillId="32" borderId="6" xfId="0" applyFill="1" applyBorder="1"/>
    <xf numFmtId="0" fontId="1" fillId="32" borderId="10" xfId="0" applyFont="1" applyFill="1" applyBorder="1"/>
    <xf numFmtId="0" fontId="0" fillId="32" borderId="7" xfId="0" applyFill="1" applyBorder="1"/>
    <xf numFmtId="0" fontId="0" fillId="23" borderId="3" xfId="0" applyFill="1" applyBorder="1"/>
    <xf numFmtId="0" fontId="0" fillId="23" borderId="2" xfId="0" applyFill="1" applyBorder="1"/>
    <xf numFmtId="0" fontId="0" fillId="23" borderId="6" xfId="0" applyFill="1" applyBorder="1"/>
    <xf numFmtId="0" fontId="0" fillId="23" borderId="7" xfId="0" applyFill="1" applyBorder="1"/>
    <xf numFmtId="0" fontId="1" fillId="36" borderId="1" xfId="0" applyFont="1" applyFill="1" applyBorder="1"/>
    <xf numFmtId="0" fontId="1" fillId="18" borderId="1" xfId="0" applyFont="1" applyFill="1" applyBorder="1"/>
    <xf numFmtId="0" fontId="1" fillId="21" borderId="1" xfId="0" applyFont="1" applyFill="1" applyBorder="1"/>
    <xf numFmtId="0" fontId="1" fillId="12" borderId="1" xfId="0" applyFont="1" applyFill="1" applyBorder="1"/>
    <xf numFmtId="0" fontId="10" fillId="36" borderId="1" xfId="0" applyFont="1" applyFill="1" applyBorder="1"/>
    <xf numFmtId="0" fontId="10" fillId="18" borderId="1" xfId="0" applyFont="1" applyFill="1" applyBorder="1"/>
    <xf numFmtId="0" fontId="10" fillId="21" borderId="1" xfId="0" applyFont="1" applyFill="1" applyBorder="1"/>
    <xf numFmtId="0" fontId="10" fillId="12" borderId="1" xfId="0" applyFont="1" applyFill="1" applyBorder="1"/>
  </cellXfs>
  <cellStyles count="1">
    <cellStyle name="Normal" xfId="0" builtinId="0"/>
  </cellStyles>
  <dxfs count="19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indexed="65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6699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6699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6699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669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6699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669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6699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6699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669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</dxf>
    <dxf>
      <border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rgb="FF92D05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4" tint="0.399975585192419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</dxf>
    <dxf>
      <border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fill>
        <patternFill patternType="solid">
          <fgColor indexed="64"/>
          <bgColor theme="8" tint="0.399975585192419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33CCCC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33CCC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33CCC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33CCC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33CCC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33CCC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33CCC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33CCC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33CCC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33CCC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33CCC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33CCC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33CCCC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33CCCC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33CCCC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12"/>
        <color rgb="FF000000"/>
        <name val="Times New Roman"/>
      </font>
      <fill>
        <patternFill patternType="solid">
          <fgColor indexed="64"/>
          <bgColor theme="9" tint="0.59999389629810485"/>
        </patternFill>
      </fill>
      <border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z val="12"/>
        <color rgb="FF000000"/>
        <name val="Times New Roman"/>
      </font>
      <fill>
        <patternFill patternType="solid">
          <fgColor indexed="64"/>
          <bgColor theme="9" tint="0.59999389629810485"/>
        </patternFill>
      </fill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color rgb="FF000000"/>
        <name val="Times New Roman"/>
      </font>
      <fill>
        <patternFill patternType="solid">
          <fgColor indexed="64"/>
          <bgColor theme="9" tint="0.59999389629810485"/>
        </patternFill>
      </fill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color rgb="FF000000"/>
        <name val="Times New Roman"/>
      </font>
      <fill>
        <patternFill patternType="solid">
          <fgColor indexed="64"/>
          <bgColor theme="9" tint="0.59999389629810485"/>
        </patternFill>
      </fill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color rgb="FF000000"/>
        <name val="Times New Roman"/>
      </font>
      <fill>
        <patternFill patternType="solid">
          <fgColor indexed="64"/>
          <bgColor theme="9" tint="0.59999389629810485"/>
        </patternFill>
      </fill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color rgb="FF000000"/>
        <name val="Times New Roman"/>
      </font>
      <fill>
        <patternFill patternType="solid">
          <fgColor indexed="64"/>
          <bgColor theme="9" tint="0.59999389629810485"/>
        </patternFill>
      </fill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color rgb="FF000000"/>
        <name val="Times New Roman"/>
      </font>
      <fill>
        <patternFill patternType="solid">
          <fgColor indexed="64"/>
          <bgColor theme="9" tint="0.59999389629810485"/>
        </patternFill>
      </fill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color rgb="FF000000"/>
        <name val="Times New Roman"/>
      </font>
      <fill>
        <patternFill patternType="solid">
          <fgColor indexed="64"/>
          <bgColor theme="9" tint="0.59999389629810485"/>
        </patternFill>
      </fill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color rgb="FF000000"/>
        <name val="Times New Roman"/>
      </font>
      <fill>
        <patternFill patternType="solid">
          <fgColor indexed="64"/>
          <bgColor theme="9" tint="0.59999389629810485"/>
        </patternFill>
      </fill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color rgb="FF000000"/>
        <name val="Times New Roman"/>
      </font>
      <fill>
        <patternFill patternType="solid">
          <fgColor indexed="64"/>
          <bgColor theme="9" tint="0.59999389629810485"/>
        </patternFill>
      </fill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color rgb="FF000000"/>
        <name val="Times New Roman"/>
      </font>
      <fill>
        <patternFill patternType="solid">
          <fgColor indexed="64"/>
          <bgColor theme="9" tint="0.59999389629810485"/>
        </patternFill>
      </fill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color rgb="FF000000"/>
        <name val="Times New Roman"/>
      </font>
      <fill>
        <patternFill patternType="solid">
          <fgColor indexed="64"/>
          <bgColor theme="9" tint="0.59999389629810485"/>
        </patternFill>
      </fill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fill>
        <patternFill patternType="solid">
          <fgColor indexed="64"/>
          <bgColor theme="9" tint="0.59999389629810485"/>
        </patternFill>
      </fill>
      <border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color rgb="FF000000"/>
        <name val="Times New Roman"/>
      </font>
      <fill>
        <patternFill patternType="solid">
          <fgColor indexed="64"/>
          <bgColor theme="9" tint="0.59999389629810485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indexed="64"/>
          <bgColor theme="9" tint="0.59999389629810485"/>
        </patternFill>
      </fill>
      <border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6699"/>
      <color rgb="FF33CCCC"/>
      <color rgb="FFFFFF66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A1DEEC4-6088-460D-B308-782D6D4C7CA6}" name="Tablo29" displayName="Tablo29" ref="M13:Y18" totalsRowShown="0" headerRowDxfId="191" dataDxfId="189" headerRowBorderDxfId="190" tableBorderDxfId="188" totalsRowBorderDxfId="187">
  <autoFilter ref="M13:Y18" xr:uid="{1A1DEEC4-6088-460D-B308-782D6D4C7CA6}"/>
  <tableColumns count="13">
    <tableColumn id="1" xr3:uid="{2724FE04-750A-42C1-A775-82752F5AF834}" name="Month" dataDxfId="186"/>
    <tableColumn id="2" xr3:uid="{695198B2-2C26-4407-81CE-97A01A3995F6}" name="December" dataDxfId="185"/>
    <tableColumn id="3" xr3:uid="{71877589-1EF6-4069-A8F7-7B59CE421F40}" name="January" dataDxfId="184"/>
    <tableColumn id="4" xr3:uid="{8CC0833D-B565-48D6-9AFD-AFD3FE5A1F54}" name="February" dataDxfId="183"/>
    <tableColumn id="5" xr3:uid="{F6DA8D81-6990-4924-A47D-A2F0872C450B}" name="March" dataDxfId="182"/>
    <tableColumn id="6" xr3:uid="{12290EE2-4605-4163-9788-D5A4B5020436}" name="April" dataDxfId="181"/>
    <tableColumn id="7" xr3:uid="{A0902234-EA01-4221-86D7-096D050D51B0}" name="May" dataDxfId="180"/>
    <tableColumn id="8" xr3:uid="{CF738DB6-025C-41B3-8486-E0E0A5DFDB51}" name="June" dataDxfId="179"/>
    <tableColumn id="9" xr3:uid="{F7016921-E9A0-4CB7-BE6C-FF1C4A588D4E}" name="July" dataDxfId="178"/>
    <tableColumn id="10" xr3:uid="{1C169250-8DCB-4CB5-87B7-BF7F052E38E0}" name="August" dataDxfId="177"/>
    <tableColumn id="11" xr3:uid="{6E375B17-32F3-4D3C-9EFB-370C16C68FD0}" name="September" dataDxfId="176"/>
    <tableColumn id="12" xr3:uid="{FEB0C6D7-0DE9-4773-A6AB-EF0549D5B067}" name="October" dataDxfId="175"/>
    <tableColumn id="13" xr3:uid="{2A8C8516-6914-4B07-BD6A-0CF665018FCC}" name="November" dataDxfId="174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7713B62-522B-4EB4-9138-2CDFA027959E}" name="Tablo30" displayName="Tablo30" ref="M34:Y39" totalsRowShown="0" headerRowDxfId="173" dataDxfId="171" headerRowBorderDxfId="172" tableBorderDxfId="170" totalsRowBorderDxfId="169">
  <autoFilter ref="M34:Y39" xr:uid="{37713B62-522B-4EB4-9138-2CDFA027959E}"/>
  <tableColumns count="13">
    <tableColumn id="1" xr3:uid="{699CF3B5-39DC-49A5-8B67-63D7D350FFF1}" name="Month" dataDxfId="168"/>
    <tableColumn id="2" xr3:uid="{547ADFB0-3614-4694-B37A-5B37DF1459AE}" name="December" dataDxfId="167"/>
    <tableColumn id="3" xr3:uid="{AFF594E2-9FF1-4301-AFAA-37C6E81C7C73}" name="January" dataDxfId="166"/>
    <tableColumn id="4" xr3:uid="{2E6CA6E8-6703-4B96-8D1D-2B2D23855B65}" name="February" dataDxfId="165"/>
    <tableColumn id="5" xr3:uid="{86C8FEF6-91B4-407B-B9D1-9E112EC137C4}" name="March" dataDxfId="164"/>
    <tableColumn id="6" xr3:uid="{B616DC80-CF8B-4F5E-85B0-3A9461B564A4}" name="April" dataDxfId="163"/>
    <tableColumn id="7" xr3:uid="{CF498D44-57A1-45A2-8948-91CACE8A9D3E}" name="May" dataDxfId="162"/>
    <tableColumn id="8" xr3:uid="{1C41BAAD-F2F7-466B-97C7-72D69A595FD8}" name="June" dataDxfId="161"/>
    <tableColumn id="9" xr3:uid="{0C4C18F0-A910-4480-8039-D5605669C699}" name="July" dataDxfId="160"/>
    <tableColumn id="10" xr3:uid="{C6B203CD-DA01-4C05-A809-3DA7D1E9039C}" name="August" dataDxfId="159"/>
    <tableColumn id="11" xr3:uid="{6EB318E8-4D27-461C-9C98-1F0C5734FD0D}" name="September" dataDxfId="158"/>
    <tableColumn id="12" xr3:uid="{15C483E4-9F0F-422C-8764-E76683359D51}" name="October" dataDxfId="157"/>
    <tableColumn id="13" xr3:uid="{01C485DA-31F9-4F7A-8326-62F4F3D0EC5C}" name="November" dataDxfId="156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DA571A6-9778-4924-A0DC-21CB12A14B0B}" name="Table31" displayName="Table31" ref="M55:Y60" totalsRowShown="0" headerRowDxfId="155" dataDxfId="153" headerRowBorderDxfId="154" tableBorderDxfId="152" totalsRowBorderDxfId="151">
  <autoFilter ref="M55:Y60" xr:uid="{7DA571A6-9778-4924-A0DC-21CB12A14B0B}"/>
  <tableColumns count="13">
    <tableColumn id="1" xr3:uid="{E4AAA449-2597-4338-989F-4F6FD6F82B88}" name="Month" dataDxfId="150"/>
    <tableColumn id="2" xr3:uid="{103879E8-F9D0-4E0D-99AC-BE128A7E526F}" name="December" dataDxfId="149"/>
    <tableColumn id="3" xr3:uid="{8F0A3596-349E-472B-81AF-B72B3008F386}" name="January" dataDxfId="148"/>
    <tableColumn id="4" xr3:uid="{E6200AA1-501D-4D1A-9D2D-647EF23AD4B7}" name="February" dataDxfId="147"/>
    <tableColumn id="5" xr3:uid="{3DB6DAC4-B5D2-4732-81BC-3BA276424AC2}" name="March" dataDxfId="146"/>
    <tableColumn id="6" xr3:uid="{76794F00-73D4-4558-B449-A14F8BDE68E6}" name="April" dataDxfId="145"/>
    <tableColumn id="7" xr3:uid="{F06671EE-64E8-45C8-8F8C-E64C4B29A32B}" name="May" dataDxfId="144"/>
    <tableColumn id="8" xr3:uid="{4571ED38-837F-4DAD-877E-B0367BE0E287}" name="June" dataDxfId="143"/>
    <tableColumn id="9" xr3:uid="{7F8779AB-9B44-4401-B527-F19381131C15}" name="July" dataDxfId="142"/>
    <tableColumn id="10" xr3:uid="{505F2CEB-B562-45F9-A86E-687425003F09}" name="August" dataDxfId="141"/>
    <tableColumn id="11" xr3:uid="{E59DF37F-145B-4E95-9AA6-AB03E7FF56F5}" name="September" dataDxfId="140"/>
    <tableColumn id="12" xr3:uid="{212E9FC1-9FE6-4C94-A901-26876CC86428}" name="October" dataDxfId="139"/>
    <tableColumn id="13" xr3:uid="{D9B96EBA-3582-43C7-B360-867963158390}" name="November" dataDxfId="138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7AFFC4-A2AF-4901-B7A1-EFD51A239B18}" name="Tablo2" displayName="Tablo2" ref="G1:S6" totalsRowShown="0" headerRowDxfId="137" dataDxfId="135" headerRowBorderDxfId="136" tableBorderDxfId="134">
  <autoFilter ref="G1:S6" xr:uid="{617AFFC4-A2AF-4901-B7A1-EFD51A239B18}"/>
  <tableColumns count="13">
    <tableColumn id="1" xr3:uid="{77B537B5-34A7-4106-AA2A-67B532B470BF}" name="Month" dataDxfId="133"/>
    <tableColumn id="2" xr3:uid="{737861B1-AF19-4E7B-B1C4-9E3F5F454E4B}" name="December" dataDxfId="132"/>
    <tableColumn id="3" xr3:uid="{49EE1C79-AB36-487E-A286-31B40331EDBE}" name="January" dataDxfId="131"/>
    <tableColumn id="4" xr3:uid="{7F4B51D0-A4B6-4E4C-A78E-F397254F3007}" name="February" dataDxfId="130"/>
    <tableColumn id="5" xr3:uid="{14BE5450-A7D1-4C46-8B7B-58D1FCBE2207}" name="March" dataDxfId="129"/>
    <tableColumn id="6" xr3:uid="{E4B6046F-1567-4FA1-8000-352A2D853342}" name="April" dataDxfId="128"/>
    <tableColumn id="7" xr3:uid="{903E2F70-5154-47BC-A01C-68B449BCC8BA}" name="May" dataDxfId="127"/>
    <tableColumn id="8" xr3:uid="{D5D0E8B0-24F0-4800-9124-832DF6214077}" name="June" dataDxfId="126"/>
    <tableColumn id="9" xr3:uid="{B333E615-90F5-4636-A83F-7BFF2F064630}" name="July" dataDxfId="125"/>
    <tableColumn id="10" xr3:uid="{A3A7BC5E-D958-4EB0-9A71-38DDC016E35E}" name="August" dataDxfId="124"/>
    <tableColumn id="11" xr3:uid="{0C625255-D05D-4EC8-ADE8-32F3C3966A66}" name="September" dataDxfId="123"/>
    <tableColumn id="12" xr3:uid="{1A86CB56-75FF-438A-B094-4D7D867EAFED}" name="October" dataDxfId="122"/>
    <tableColumn id="13" xr3:uid="{49C77ABA-9CFD-4358-B38D-134FF5202092}" name="November" dataDxfId="121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D3023AD-2D11-42A1-BC60-CBEC4D67107C}" name="Tablo11" displayName="Tablo11" ref="U2:V5" totalsRowShown="0" headerRowDxfId="120" dataDxfId="118" headerRowBorderDxfId="119" tableBorderDxfId="117" totalsRowBorderDxfId="116">
  <autoFilter ref="U2:V5" xr:uid="{FD3023AD-2D11-42A1-BC60-CBEC4D67107C}"/>
  <tableColumns count="2">
    <tableColumn id="1" xr3:uid="{948F5E46-8454-4D1A-B596-A89A361F77B3}" name="Costs" dataDxfId="115"/>
    <tableColumn id="2" xr3:uid="{028A37A9-D70B-44DC-B175-2B9D96DD0235}" name="Results" dataDxfId="114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5EE3D3B-1B90-4C0C-B395-2DC0A0540246}" name="Tablo14" displayName="Tablo14" ref="L15:N26" totalsRowShown="0" headerRowDxfId="113" dataDxfId="111" headerRowBorderDxfId="112" tableBorderDxfId="110" totalsRowBorderDxfId="109">
  <autoFilter ref="L15:N26" xr:uid="{C5EE3D3B-1B90-4C0C-B395-2DC0A0540246}"/>
  <tableColumns count="3">
    <tableColumn id="1" xr3:uid="{05D1EC53-4403-4212-972D-DE5DBE4D1015}" name="Months" dataDxfId="108"/>
    <tableColumn id="2" xr3:uid="{E9AC1881-AB33-46BE-812E-A39129FBDE45}" name="Planned order" dataDxfId="107"/>
    <tableColumn id="3" xr3:uid="{828E48FE-EC5C-4268-B2F0-4C37BAC5CFEE}" name="Inventory" dataDxfId="106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62D7076-E513-4DD2-B09B-0BA54F877ED4}" name="Tablo20" displayName="Tablo20" ref="P15:Q18" totalsRowShown="0" headerRowDxfId="105" dataDxfId="103" headerRowBorderDxfId="104" tableBorderDxfId="102" totalsRowBorderDxfId="101">
  <autoFilter ref="P15:Q18" xr:uid="{C62D7076-E513-4DD2-B09B-0BA54F877ED4}"/>
  <tableColumns count="2">
    <tableColumn id="1" xr3:uid="{2798A940-C192-4E4C-9531-77D9DE34135A}" name="Costs" dataDxfId="100"/>
    <tableColumn id="2" xr3:uid="{790775EB-2088-47D0-BBA3-D7977873ACDE}" name="Results" dataDxfId="99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6F52D81-4CAE-4E98-B695-A60AE18565FD}" name="Tablo21" displayName="Tablo21" ref="Z15:AB26" totalsRowShown="0" headerRowDxfId="98" dataDxfId="96" headerRowBorderDxfId="97" tableBorderDxfId="95" totalsRowBorderDxfId="94">
  <autoFilter ref="Z15:AB26" xr:uid="{B6F52D81-4CAE-4E98-B695-A60AE18565FD}"/>
  <tableColumns count="3">
    <tableColumn id="1" xr3:uid="{D79BB923-A1BF-42AD-9F20-3C3041FF63AD}" name="Months" dataDxfId="93"/>
    <tableColumn id="2" xr3:uid="{9E9D91DB-A076-467B-A323-BBB6F373E43C}" name="planned order" dataDxfId="92"/>
    <tableColumn id="3" xr3:uid="{46981E39-1477-46B6-B9BC-5B66D907F561}" name="inventory" dataDxfId="91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7AFE9F4-5A88-4868-8419-D32071FF003D}" name="Tablo22" displayName="Tablo22" ref="AD15:AE18" totalsRowShown="0" headerRowDxfId="90" dataDxfId="88" headerRowBorderDxfId="89" tableBorderDxfId="87" totalsRowBorderDxfId="86">
  <autoFilter ref="AD15:AE18" xr:uid="{C7AFE9F4-5A88-4868-8419-D32071FF003D}"/>
  <tableColumns count="2">
    <tableColumn id="1" xr3:uid="{D6513CA1-749A-44A4-AECD-4E428ECC1DC3}" name="Costs" dataDxfId="85"/>
    <tableColumn id="2" xr3:uid="{CB9B0A9B-41C8-4FD8-9E91-77E5E159367F}" name="Results" dataDxfId="84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2535D49-6038-4BDB-B5C9-E9AA92E1E347}" name="Tablo23" displayName="Tablo23" ref="AL15:AN26" totalsRowShown="0" headerRowDxfId="83" dataDxfId="81" headerRowBorderDxfId="82" tableBorderDxfId="80" totalsRowBorderDxfId="79">
  <autoFilter ref="AL15:AN26" xr:uid="{B2535D49-6038-4BDB-B5C9-E9AA92E1E347}"/>
  <tableColumns count="3">
    <tableColumn id="1" xr3:uid="{8DCD85A4-9A1F-4A8F-A6F7-C942E16398D1}" name="Months" dataDxfId="78"/>
    <tableColumn id="2" xr3:uid="{12964A26-E2EA-45D0-93AB-BB1529E5E895}" name="Planned Order" dataDxfId="77"/>
    <tableColumn id="3" xr3:uid="{92B17B3F-1A6E-472C-A7EC-8809A51DDD0E}" name="Inventory" dataDxfId="76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A1BDD6E-2105-4947-8863-47F52127BCDB}" name="Tablo24" displayName="Tablo24" ref="AP15:AQ18" totalsRowShown="0" headerRowDxfId="75" dataDxfId="73" headerRowBorderDxfId="74" tableBorderDxfId="72" totalsRowBorderDxfId="71">
  <autoFilter ref="AP15:AQ18" xr:uid="{CA1BDD6E-2105-4947-8863-47F52127BCDB}"/>
  <tableColumns count="2">
    <tableColumn id="1" xr3:uid="{AFE8BB58-7CFE-4C98-A4E8-0CA061947708}" name="Costs" dataDxfId="70"/>
    <tableColumn id="2" xr3:uid="{71718CD5-C5B4-4231-8CF0-0D8A8EF0FA26}" name="Results" dataDxfId="69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790F706-6180-44D5-8065-3669A8104EAA}" name="Tablo32" displayName="Tablo32" ref="H3:T8" totalsRowShown="0" headerRowDxfId="68" headerRowBorderDxfId="67" tableBorderDxfId="66">
  <autoFilter ref="H3:T8" xr:uid="{A790F706-6180-44D5-8065-3669A8104EAA}"/>
  <tableColumns count="13">
    <tableColumn id="1" xr3:uid="{D79A1C15-E4DC-4E08-AC17-56D6589CD977}" name="Month" dataDxfId="65"/>
    <tableColumn id="2" xr3:uid="{9B794E8B-2ABD-45C1-91D0-FB74292F9F00}" name="December" dataDxfId="64"/>
    <tableColumn id="3" xr3:uid="{30AFFADD-E61B-41C7-8F51-40375209CBEF}" name="January"/>
    <tableColumn id="4" xr3:uid="{1FDE2ED7-08CA-44C5-B85D-FCC4438915BB}" name="February"/>
    <tableColumn id="5" xr3:uid="{A478B62A-83FE-493C-A032-662B04694ABC}" name="March"/>
    <tableColumn id="6" xr3:uid="{C8C93AA9-FC0D-4BFD-BBC7-581BCDEDDD4F}" name="April"/>
    <tableColumn id="7" xr3:uid="{26322986-44E4-47E4-A0AD-E78F898E8F04}" name="May"/>
    <tableColumn id="8" xr3:uid="{ACD3DCFE-1139-4192-B8F8-059B67F4F8ED}" name="June"/>
    <tableColumn id="9" xr3:uid="{128F0C71-8E63-43CE-B8BA-51881E6F3F68}" name="July"/>
    <tableColumn id="10" xr3:uid="{7AD6F5F1-F8A4-4AD9-B76F-F94F77615D6F}" name="August"/>
    <tableColumn id="11" xr3:uid="{8CB01ABD-F236-4655-A6F3-E76466578F3B}" name="September"/>
    <tableColumn id="12" xr3:uid="{79F47190-88C5-411C-B665-911608BE2A89}" name="October"/>
    <tableColumn id="13" xr3:uid="{875760DF-348A-4D2A-9E87-EB125E82396C}" name="November" dataDxfId="63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B8C280F-302D-4C9E-907E-B95666011D60}" name="Tablo33" displayName="Tablo33" ref="E3:Q8" totalsRowShown="0" headerRowDxfId="62" headerRowBorderDxfId="61" tableBorderDxfId="60">
  <autoFilter ref="E3:Q8" xr:uid="{FB8C280F-302D-4C9E-907E-B95666011D60}"/>
  <tableColumns count="13">
    <tableColumn id="1" xr3:uid="{C0FA2AA5-DC0D-46F4-B681-DC765B314A74}" name="Month" dataDxfId="59"/>
    <tableColumn id="2" xr3:uid="{9CA191E6-0A45-4826-AD2D-F462283E346C}" name="December" dataDxfId="58"/>
    <tableColumn id="3" xr3:uid="{F7429805-B391-4B8E-AEAD-72BF5B45900D}" name="January"/>
    <tableColumn id="4" xr3:uid="{4BEE97FC-6148-4011-B45B-822D289E27A3}" name="February"/>
    <tableColumn id="5" xr3:uid="{B0A15ACD-753A-4967-B37A-4371F0D55860}" name="March"/>
    <tableColumn id="6" xr3:uid="{387015E8-8EFA-4DF6-B899-7EADBEBD8097}" name="April"/>
    <tableColumn id="7" xr3:uid="{CDA4A6B9-54AE-43A7-9788-C65DFB513759}" name="May"/>
    <tableColumn id="8" xr3:uid="{9A8C8F21-810B-47E7-85DE-EE19F070E449}" name="June"/>
    <tableColumn id="9" xr3:uid="{3781CF0B-7D50-4EAD-BE28-53CBD17960A5}" name="July"/>
    <tableColumn id="10" xr3:uid="{9506F1EE-AF1B-4D47-A5A5-093AFA6D5A61}" name="August"/>
    <tableColumn id="11" xr3:uid="{F3BCA268-5686-4300-9332-30B540B484A0}" name="September"/>
    <tableColumn id="12" xr3:uid="{EBCF2C9C-1AC1-410E-AD9E-8EC33AFB5E9F}" name="October"/>
    <tableColumn id="13" xr3:uid="{AA5A6614-0267-400F-946C-6ADF5EC8BDC0}" name="November" dataDxfId="57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AD96EFA-AEBD-A948-8D33-539CB7E717E3}" name="Tablo17" displayName="Tablo17" ref="F2:R7" totalsRowShown="0" headerRowDxfId="56" headerRowBorderDxfId="55" tableBorderDxfId="54">
  <autoFilter ref="F2:R7" xr:uid="{8AD96EFA-AEBD-A948-8D33-539CB7E717E3}"/>
  <tableColumns count="13">
    <tableColumn id="1" xr3:uid="{8FDF9E1D-3AFD-C44A-B854-B7D0605DF63F}" name="Month" dataDxfId="53"/>
    <tableColumn id="2" xr3:uid="{EC3F7F5E-AD6E-9748-9516-D3A13BBAA5D7}" name="December" dataDxfId="52"/>
    <tableColumn id="3" xr3:uid="{E91235AD-B853-3241-94EF-18F4AB6CA9D9}" name="January"/>
    <tableColumn id="4" xr3:uid="{4A0C5379-F389-7244-B9AE-1D4F766F5927}" name="February"/>
    <tableColumn id="5" xr3:uid="{DC0C0C9D-5882-214D-B2A8-E0E94C597DB3}" name="March"/>
    <tableColumn id="6" xr3:uid="{DF3EEA5A-2DF4-C14D-9AED-5337F6D8A1D2}" name="April"/>
    <tableColumn id="7" xr3:uid="{785575C9-BFDE-A94F-84A2-7B920C421CB6}" name="May"/>
    <tableColumn id="8" xr3:uid="{9836A0B6-4359-3A45-83A2-2BD6121A333C}" name="June"/>
    <tableColumn id="9" xr3:uid="{6C5095AD-0519-DB41-BD5A-6A030C82EE12}" name="July"/>
    <tableColumn id="10" xr3:uid="{D802A5EA-CF64-E745-AB26-69B8AC8B06CB}" name="August"/>
    <tableColumn id="11" xr3:uid="{D12525FE-1124-9545-8758-07C0B741F6EC}" name="September"/>
    <tableColumn id="12" xr3:uid="{3A39DE39-5937-4A42-9AA2-E9ED680C773B}" name="October"/>
    <tableColumn id="13" xr3:uid="{B9FCCF7D-8625-2D41-835B-F181A92047B2}" name="November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8DC9E9-ED86-4206-95C6-85C8A7C2CC2E}" name="Tablo4" displayName="Tablo4" ref="T2:V5" totalsRowShown="0" headerRowDxfId="51" headerRowBorderDxfId="50" tableBorderDxfId="49" totalsRowBorderDxfId="48">
  <autoFilter ref="T2:V5" xr:uid="{0D8DC9E9-ED86-4206-95C6-85C8A7C2CC2E}"/>
  <tableColumns count="3">
    <tableColumn id="1" xr3:uid="{427F5BC2-085F-4408-9381-E64B0C852020}" name="Costs" dataDxfId="47"/>
    <tableColumn id="2" xr3:uid="{F8CB668B-5E5C-4B35-B2DF-2178C6712487}" name="Results" dataDxfId="46"/>
    <tableColumn id="3" xr3:uid="{D4F6562D-EBAC-46C7-ADD9-7486C9364895}" name="Column1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F141190-FAA8-44B7-B1C4-AE2AB16DC818}" name="Tablo15" displayName="Tablo15" ref="M22:O33" totalsRowShown="0" tableBorderDxfId="45">
  <autoFilter ref="M22:O33" xr:uid="{2F141190-FAA8-44B7-B1C4-AE2AB16DC818}"/>
  <tableColumns count="3">
    <tableColumn id="1" xr3:uid="{8B035977-F97E-41C9-84E1-923F695A6EB8}" name="Months" dataDxfId="44"/>
    <tableColumn id="2" xr3:uid="{56D02089-9A91-44AC-BE4C-F82981E24FFF}" name="planned order" dataDxfId="43"/>
    <tableColumn id="3" xr3:uid="{CCE8DF7E-234A-4183-8673-CAA10609FA0E}" name="inventory" dataDxfId="42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6C61D42-BCB1-4AB5-BC59-645B2EA21CAD}" name="Tablo18" displayName="Tablo18" ref="D21:E24" totalsRowShown="0" headerRowDxfId="41" headerRowBorderDxfId="40" tableBorderDxfId="39" totalsRowBorderDxfId="38">
  <autoFilter ref="D21:E24" xr:uid="{26C61D42-BCB1-4AB5-BC59-645B2EA21CAD}"/>
  <tableColumns count="2">
    <tableColumn id="1" xr3:uid="{840FC6A1-B55C-4045-88CD-BB62101B59D0}" name="Costs" dataDxfId="37"/>
    <tableColumn id="2" xr3:uid="{E3CACBF3-B487-4BC3-A587-25C5017583D8}" name="Results" dataDxfId="36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50F5DE-19D4-4C26-80B8-AF8CCC81332E}" name="Tablo1" displayName="Tablo1" ref="AC17:AD20" totalsRowShown="0" headerRowDxfId="35" headerRowBorderDxfId="34" tableBorderDxfId="33" totalsRowBorderDxfId="32">
  <autoFilter ref="AC17:AD20" xr:uid="{7E50F5DE-19D4-4C26-80B8-AF8CCC81332E}"/>
  <tableColumns count="2">
    <tableColumn id="1" xr3:uid="{B4E8D7D7-BCC8-4932-B1DA-F7B806F96118}" name="Costs" dataDxfId="31"/>
    <tableColumn id="2" xr3:uid="{0F581DF9-9EBD-48C4-A8CC-519897F93EC3}" name="Results" dataDxfId="30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94092E-EFCF-403F-9212-B04689B38171}" name="Tablo5" displayName="Tablo5" ref="AO18:AQ29" totalsRowShown="0" headerRowDxfId="29" headerRowBorderDxfId="28" tableBorderDxfId="27" totalsRowBorderDxfId="26">
  <autoFilter ref="AO18:AQ29" xr:uid="{3794092E-EFCF-403F-9212-B04689B38171}"/>
  <tableColumns count="3">
    <tableColumn id="1" xr3:uid="{0C58EFCC-BBCD-4FA9-817D-9502C1230087}" name="Period" dataDxfId="25"/>
    <tableColumn id="2" xr3:uid="{8B5F1E0B-859B-4066-A306-1E9161EC1448}" name="Planned Schedule Order" dataDxfId="24"/>
    <tableColumn id="3" xr3:uid="{0F32DC83-5B4E-45D2-A061-E8698988E871}" name="Inventory" dataDxfId="23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77B020-7954-4045-8471-8F88F0971BAA}" name="Tablo7" displayName="Tablo7" ref="AS13:AT16" totalsRowShown="0" headerRowDxfId="22" headerRowBorderDxfId="21" tableBorderDxfId="20" totalsRowBorderDxfId="19">
  <autoFilter ref="AS13:AT16" xr:uid="{EF77B020-7954-4045-8471-8F88F0971BAA}"/>
  <tableColumns count="2">
    <tableColumn id="1" xr3:uid="{85E7CAB8-D211-45BD-9714-622164DE5AC6}" name="Costs" dataDxfId="18"/>
    <tableColumn id="2" xr3:uid="{37E7F5BC-8883-4FA7-946B-D4C2B2FFE392}" name="Results" dataDxfId="17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5DAAEB54-1E66-431C-BC23-1E99F745BF84}" name="Tablo34" displayName="Tablo34" ref="F2:R7" totalsRowShown="0" headerRowDxfId="16" headerRowBorderDxfId="15" tableBorderDxfId="14">
  <autoFilter ref="F2:R7" xr:uid="{5DAAEB54-1E66-431C-BC23-1E99F745BF84}"/>
  <tableColumns count="13">
    <tableColumn id="1" xr3:uid="{0A42B41D-1EE0-4086-958A-21E7FFFC7271}" name="Month" dataDxfId="13"/>
    <tableColumn id="2" xr3:uid="{FD691A74-B3E7-4D66-970F-71C4A6745562}" name="December" dataDxfId="12"/>
    <tableColumn id="3" xr3:uid="{C547E9FB-3F0F-4E60-BC60-F97E56B08470}" name="January"/>
    <tableColumn id="4" xr3:uid="{001813C9-8236-43B7-B57E-400CB2951497}" name="February"/>
    <tableColumn id="5" xr3:uid="{5274DB8C-525A-419F-93DD-61D7A0D94015}" name="March"/>
    <tableColumn id="6" xr3:uid="{DE651225-2AD6-4AE2-9582-79F55C25C572}" name="April"/>
    <tableColumn id="7" xr3:uid="{39B8916A-8BBB-4A2F-9DE4-60BC6F3C68B1}" name="May"/>
    <tableColumn id="8" xr3:uid="{12D3C66F-5FFF-4CEF-90B8-15B3AC080706}" name="June"/>
    <tableColumn id="9" xr3:uid="{9B58865C-8C61-42AF-B98E-642569F0D729}" name="July"/>
    <tableColumn id="10" xr3:uid="{D62DF010-2597-4EB3-9761-3164A44BA49F}" name="August"/>
    <tableColumn id="11" xr3:uid="{C96F67A6-70B4-4D67-9D87-870232C0C063}" name="September"/>
    <tableColumn id="12" xr3:uid="{04D69C4D-C1DE-4B24-A744-3588ED975986}" name="October"/>
    <tableColumn id="13" xr3:uid="{01ACBAC8-7C2F-4E2A-8586-BE98156C1807}" name="November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8341B2F-792C-4D87-9B9C-B10974E0FB0D}" name="Tablo27" displayName="Tablo27" ref="H43:J63" totalsRowShown="0" headerRowDxfId="11">
  <autoFilter ref="H43:J63" xr:uid="{18341B2F-792C-4D87-9B9C-B10974E0FB0D}"/>
  <tableColumns count="3">
    <tableColumn id="1" xr3:uid="{513AC3C2-F46D-47C6-8DA4-9271FF6974F8}" name="PRODUCT NAMES" dataDxfId="10"/>
    <tableColumn id="2" xr3:uid="{B7072225-1D56-46E1-B99B-876A21861474}" name="LOWEST COST" dataDxfId="9"/>
    <tableColumn id="3" xr3:uid="{896BCC0F-D738-4E6F-8862-B28A71B376AD}" name="LOT-SIZING TECHNIQUE" dataDxfId="8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5B2D2DB-F7DE-4C4A-A314-8D11E9E4A2B7}" name="Table28" displayName="Table28" ref="B25:E30" totalsRowShown="0" headerRowDxfId="7">
  <autoFilter ref="B25:E30" xr:uid="{E5B2D2DB-F7DE-4C4A-A314-8D11E9E4A2B7}"/>
  <tableColumns count="4">
    <tableColumn id="1" xr3:uid="{AAEDC4F3-458D-4168-B081-F5A6C0AE5735}" name="Product Name:INCI" dataDxfId="6"/>
    <tableColumn id="2" xr3:uid="{D16734E5-E59C-4970-99D3-DA4920BB68DA}" name="Column1"/>
    <tableColumn id="3" xr3:uid="{2BBC214D-C50F-4261-BD76-ABCB95F3C1C7}" name="Column2"/>
    <tableColumn id="4" xr3:uid="{E90E17CB-6FA5-40F4-BE66-A8FB3D7BF67D}" name="Column3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189547-6836-459B-91CA-088ABA97E396}" name="Tablo3" displayName="Tablo3" ref="S17:V22" totalsRowShown="0" headerRowDxfId="5" dataDxfId="4">
  <autoFilter ref="S17:V22" xr:uid="{7E189547-6836-459B-91CA-088ABA97E396}"/>
  <tableColumns count="4">
    <tableColumn id="1" xr3:uid="{8DE957B8-8CBE-41A6-9D02-F6961509C30D}" name="Product Name:ITALIC" dataDxfId="3"/>
    <tableColumn id="2" xr3:uid="{D6CC8388-6D10-4822-ACCE-5891BBCE4C63}" name="Sütun1" dataDxfId="2"/>
    <tableColumn id="3" xr3:uid="{7EEBC67E-A980-4000-8434-37B6BED60908}" name="Sütun2" dataDxfId="1"/>
    <tableColumn id="4" xr3:uid="{74A7C30D-5802-4B79-9F99-81E0C4B344AE}" name="Sütun3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769C-E678-45D9-8095-77F63B5D83E2}">
  <dimension ref="B3:AE60"/>
  <sheetViews>
    <sheetView topLeftCell="C1" zoomScale="69" workbookViewId="0">
      <selection activeCell="AC10" sqref="AC10"/>
    </sheetView>
  </sheetViews>
  <sheetFormatPr defaultColWidth="8.77734375" defaultRowHeight="14.4" x14ac:dyDescent="0.3"/>
  <cols>
    <col min="4" max="4" width="10.44140625" bestFit="1" customWidth="1"/>
    <col min="8" max="8" width="8.77734375" bestFit="1" customWidth="1"/>
    <col min="11" max="11" width="10.109375" bestFit="1" customWidth="1"/>
    <col min="13" max="13" width="19.77734375" bestFit="1" customWidth="1"/>
    <col min="14" max="14" width="12.6640625" bestFit="1" customWidth="1"/>
    <col min="15" max="15" width="10.109375" bestFit="1" customWidth="1"/>
    <col min="16" max="16" width="11.33203125" bestFit="1" customWidth="1"/>
    <col min="17" max="17" width="9" bestFit="1" customWidth="1"/>
    <col min="22" max="22" width="9.44140625" bestFit="1" customWidth="1"/>
    <col min="23" max="23" width="13.33203125" bestFit="1" customWidth="1"/>
    <col min="24" max="24" width="10.44140625" bestFit="1" customWidth="1"/>
    <col min="25" max="25" width="12.44140625" bestFit="1" customWidth="1"/>
    <col min="27" max="27" width="11.44140625" bestFit="1" customWidth="1"/>
    <col min="31" max="31" width="13" bestFit="1" customWidth="1"/>
  </cols>
  <sheetData>
    <row r="3" spans="2:31" x14ac:dyDescent="0.3">
      <c r="B3" s="5" t="s">
        <v>0</v>
      </c>
      <c r="C3" s="6" t="s">
        <v>1</v>
      </c>
      <c r="D3" s="6" t="s">
        <v>2</v>
      </c>
      <c r="F3" t="s">
        <v>3</v>
      </c>
      <c r="G3">
        <v>0.44</v>
      </c>
      <c r="H3" t="s">
        <v>4</v>
      </c>
      <c r="I3">
        <v>25.71</v>
      </c>
    </row>
    <row r="4" spans="2:31" x14ac:dyDescent="0.3">
      <c r="B4" s="9" t="s">
        <v>5</v>
      </c>
      <c r="C4" s="10">
        <v>274</v>
      </c>
      <c r="D4" s="10">
        <v>328</v>
      </c>
      <c r="H4" t="s">
        <v>6</v>
      </c>
      <c r="I4">
        <f>G3*I3</f>
        <v>11.3124</v>
      </c>
    </row>
    <row r="5" spans="2:31" x14ac:dyDescent="0.3">
      <c r="B5" s="9" t="s">
        <v>7</v>
      </c>
      <c r="C5" s="10">
        <v>201</v>
      </c>
      <c r="D5" s="10">
        <v>324</v>
      </c>
      <c r="F5" t="s">
        <v>8</v>
      </c>
      <c r="G5">
        <v>10350</v>
      </c>
    </row>
    <row r="6" spans="2:31" x14ac:dyDescent="0.3">
      <c r="B6" s="9" t="s">
        <v>9</v>
      </c>
      <c r="C6" s="10">
        <v>220</v>
      </c>
      <c r="D6" s="10">
        <v>320</v>
      </c>
      <c r="F6" t="s">
        <v>10</v>
      </c>
      <c r="G6">
        <f>8*G17</f>
        <v>9200</v>
      </c>
    </row>
    <row r="7" spans="2:31" x14ac:dyDescent="0.3">
      <c r="B7" s="9" t="s">
        <v>11</v>
      </c>
      <c r="C7" s="10">
        <v>244</v>
      </c>
      <c r="D7" s="10">
        <v>318</v>
      </c>
      <c r="F7" t="s">
        <v>12</v>
      </c>
      <c r="G7">
        <f>7.5*G17</f>
        <v>8625</v>
      </c>
    </row>
    <row r="8" spans="2:31" x14ac:dyDescent="0.3">
      <c r="B8" s="9" t="s">
        <v>13</v>
      </c>
      <c r="C8" s="10">
        <v>263</v>
      </c>
      <c r="D8" s="10">
        <v>319</v>
      </c>
      <c r="F8" s="13" t="s">
        <v>14</v>
      </c>
      <c r="G8" s="13">
        <f>7*G17</f>
        <v>8050</v>
      </c>
    </row>
    <row r="9" spans="2:31" x14ac:dyDescent="0.3">
      <c r="B9" s="9" t="s">
        <v>15</v>
      </c>
      <c r="C9" s="10">
        <v>181</v>
      </c>
      <c r="D9" s="10">
        <v>297</v>
      </c>
      <c r="F9" t="s">
        <v>16</v>
      </c>
      <c r="G9">
        <f>6*G17</f>
        <v>6900</v>
      </c>
    </row>
    <row r="10" spans="2:31" x14ac:dyDescent="0.3">
      <c r="B10" s="9" t="s">
        <v>17</v>
      </c>
      <c r="C10" s="10">
        <v>235</v>
      </c>
      <c r="D10" s="10">
        <v>289</v>
      </c>
      <c r="F10" t="s">
        <v>18</v>
      </c>
      <c r="G10">
        <f>4.5*G17</f>
        <v>5175</v>
      </c>
    </row>
    <row r="11" spans="2:31" x14ac:dyDescent="0.3">
      <c r="B11" s="9" t="s">
        <v>19</v>
      </c>
      <c r="C11" s="10">
        <v>212</v>
      </c>
      <c r="D11" s="10">
        <v>274</v>
      </c>
      <c r="F11" t="s">
        <v>20</v>
      </c>
      <c r="G11">
        <f>4*G17</f>
        <v>4600</v>
      </c>
    </row>
    <row r="12" spans="2:31" x14ac:dyDescent="0.3">
      <c r="B12" s="9" t="s">
        <v>21</v>
      </c>
      <c r="C12" s="10">
        <v>209</v>
      </c>
      <c r="D12" s="10">
        <v>259</v>
      </c>
      <c r="F12" t="s">
        <v>22</v>
      </c>
      <c r="G12">
        <f>3.5*G17</f>
        <v>4025</v>
      </c>
    </row>
    <row r="13" spans="2:31" ht="15.6" x14ac:dyDescent="0.3">
      <c r="B13" s="9" t="s">
        <v>23</v>
      </c>
      <c r="C13" s="10">
        <v>226</v>
      </c>
      <c r="D13" s="10">
        <v>249</v>
      </c>
      <c r="F13" t="s">
        <v>24</v>
      </c>
      <c r="G13">
        <f>G17*3</f>
        <v>3450</v>
      </c>
      <c r="K13" t="s">
        <v>25</v>
      </c>
      <c r="M13" s="552" t="s">
        <v>26</v>
      </c>
      <c r="N13" s="553" t="s">
        <v>27</v>
      </c>
      <c r="O13" s="553" t="s">
        <v>5</v>
      </c>
      <c r="P13" s="553" t="s">
        <v>7</v>
      </c>
      <c r="Q13" s="553" t="s">
        <v>9</v>
      </c>
      <c r="R13" s="553" t="s">
        <v>11</v>
      </c>
      <c r="S13" s="553" t="s">
        <v>13</v>
      </c>
      <c r="T13" s="553" t="s">
        <v>15</v>
      </c>
      <c r="U13" s="553" t="s">
        <v>17</v>
      </c>
      <c r="V13" s="553" t="s">
        <v>19</v>
      </c>
      <c r="W13" s="553" t="s">
        <v>21</v>
      </c>
      <c r="X13" s="553" t="s">
        <v>23</v>
      </c>
      <c r="Y13" s="554" t="s">
        <v>28</v>
      </c>
      <c r="AA13" s="24" t="s">
        <v>29</v>
      </c>
      <c r="AB13" s="24">
        <f>10*G15</f>
        <v>23000</v>
      </c>
      <c r="AD13" s="561" t="s">
        <v>10</v>
      </c>
      <c r="AE13" s="561">
        <f>8*AE20</f>
        <v>9200</v>
      </c>
    </row>
    <row r="14" spans="2:31" ht="15.6" x14ac:dyDescent="0.3">
      <c r="B14" s="9" t="s">
        <v>28</v>
      </c>
      <c r="C14" s="10">
        <v>177</v>
      </c>
      <c r="D14" s="10">
        <v>228</v>
      </c>
      <c r="F14" t="s">
        <v>30</v>
      </c>
      <c r="G14">
        <f>2.5*G17</f>
        <v>2875</v>
      </c>
      <c r="K14" t="s">
        <v>31</v>
      </c>
      <c r="M14" s="555" t="s">
        <v>32</v>
      </c>
      <c r="N14" s="556"/>
      <c r="O14" s="556">
        <v>328</v>
      </c>
      <c r="P14" s="556">
        <v>324</v>
      </c>
      <c r="Q14" s="556">
        <v>320</v>
      </c>
      <c r="R14" s="556">
        <v>318</v>
      </c>
      <c r="S14" s="556">
        <v>319</v>
      </c>
      <c r="T14" s="556">
        <v>297</v>
      </c>
      <c r="U14" s="556">
        <v>289</v>
      </c>
      <c r="V14" s="556">
        <v>274</v>
      </c>
      <c r="W14" s="556">
        <v>259</v>
      </c>
      <c r="X14" s="556">
        <v>249</v>
      </c>
      <c r="Y14" s="557">
        <v>228</v>
      </c>
      <c r="AA14" s="26" t="s">
        <v>33</v>
      </c>
      <c r="AB14" s="25">
        <f>SUM(O18:Y18)*I4</f>
        <v>15169.928400000001</v>
      </c>
      <c r="AD14" s="562" t="s">
        <v>14</v>
      </c>
      <c r="AE14" s="562">
        <f>7*AE20</f>
        <v>8050</v>
      </c>
    </row>
    <row r="15" spans="2:31" ht="15.6" x14ac:dyDescent="0.3">
      <c r="D15">
        <f>AVERAGE(D4:D14)</f>
        <v>291.36363636363637</v>
      </c>
      <c r="F15" t="s">
        <v>34</v>
      </c>
      <c r="G15">
        <f>2*G17</f>
        <v>2300</v>
      </c>
      <c r="M15" s="555" t="s">
        <v>35</v>
      </c>
      <c r="N15" s="556">
        <v>328</v>
      </c>
      <c r="O15" s="556">
        <v>324</v>
      </c>
      <c r="P15" s="556">
        <v>320</v>
      </c>
      <c r="Q15" s="556">
        <v>318</v>
      </c>
      <c r="R15" s="556">
        <v>319</v>
      </c>
      <c r="S15" s="556">
        <v>297</v>
      </c>
      <c r="T15" s="556">
        <v>289</v>
      </c>
      <c r="U15" s="556">
        <v>274</v>
      </c>
      <c r="V15" s="556">
        <v>259</v>
      </c>
      <c r="W15" s="556">
        <v>249</v>
      </c>
      <c r="X15" s="556">
        <v>228</v>
      </c>
      <c r="Y15" s="557"/>
      <c r="AA15" s="26" t="s">
        <v>36</v>
      </c>
      <c r="AB15" s="25">
        <f>AB13+AB14</f>
        <v>38169.928400000004</v>
      </c>
      <c r="AD15" s="561" t="s">
        <v>16</v>
      </c>
      <c r="AE15" s="561">
        <f>6*AE20</f>
        <v>6900</v>
      </c>
    </row>
    <row r="16" spans="2:31" ht="15.6" x14ac:dyDescent="0.3">
      <c r="B16" s="15" t="s">
        <v>37</v>
      </c>
      <c r="C16" t="s">
        <v>38</v>
      </c>
      <c r="D16" s="16">
        <f>SQRT(2*D15*G17/I4)</f>
        <v>243.39083228758457</v>
      </c>
      <c r="F16" t="s">
        <v>39</v>
      </c>
      <c r="G16">
        <f>G17*(1.5)</f>
        <v>1725</v>
      </c>
      <c r="M16" s="555" t="s">
        <v>40</v>
      </c>
      <c r="N16" s="556">
        <v>344</v>
      </c>
      <c r="O16" s="556">
        <v>344</v>
      </c>
      <c r="P16" s="556">
        <v>344</v>
      </c>
      <c r="Q16" s="556">
        <v>344</v>
      </c>
      <c r="R16" s="556">
        <v>344</v>
      </c>
      <c r="S16" s="556">
        <v>344</v>
      </c>
      <c r="T16" s="556">
        <v>344</v>
      </c>
      <c r="U16" s="556">
        <v>344</v>
      </c>
      <c r="V16" s="556">
        <v>0</v>
      </c>
      <c r="W16" s="556">
        <v>344</v>
      </c>
      <c r="X16" s="556">
        <v>344</v>
      </c>
      <c r="Y16" s="557"/>
      <c r="AD16" s="562" t="s">
        <v>20</v>
      </c>
      <c r="AE16" s="562">
        <f>4*AE20</f>
        <v>4600</v>
      </c>
    </row>
    <row r="17" spans="2:31" ht="15.6" x14ac:dyDescent="0.3">
      <c r="B17" s="15" t="s">
        <v>41</v>
      </c>
      <c r="C17" t="s">
        <v>38</v>
      </c>
      <c r="D17" s="16">
        <f>SQRT(2*D15*G16/I4)</f>
        <v>298.09167358794963</v>
      </c>
      <c r="F17" t="s">
        <v>42</v>
      </c>
      <c r="G17" s="1">
        <v>1150</v>
      </c>
      <c r="M17" s="555" t="s">
        <v>43</v>
      </c>
      <c r="N17" s="556"/>
      <c r="O17" s="556">
        <v>344</v>
      </c>
      <c r="P17" s="556">
        <v>344</v>
      </c>
      <c r="Q17" s="556">
        <v>344</v>
      </c>
      <c r="R17" s="556">
        <v>344</v>
      </c>
      <c r="S17" s="556">
        <v>344</v>
      </c>
      <c r="T17" s="556">
        <v>344</v>
      </c>
      <c r="U17" s="556">
        <v>344</v>
      </c>
      <c r="V17" s="556">
        <v>344</v>
      </c>
      <c r="W17" s="556">
        <v>0</v>
      </c>
      <c r="X17" s="556">
        <v>344</v>
      </c>
      <c r="Y17" s="557">
        <v>344</v>
      </c>
      <c r="AD17" s="561" t="s">
        <v>24</v>
      </c>
      <c r="AE17" s="561">
        <f>AE20*3</f>
        <v>3450</v>
      </c>
    </row>
    <row r="18" spans="2:31" ht="15.6" x14ac:dyDescent="0.3">
      <c r="B18" s="15" t="s">
        <v>44</v>
      </c>
      <c r="C18" t="s">
        <v>38</v>
      </c>
      <c r="D18" s="16">
        <f>SQRT(2*D15*G15/I4)</f>
        <v>344.2066159783775</v>
      </c>
      <c r="M18" s="558" t="s">
        <v>45</v>
      </c>
      <c r="N18" s="559"/>
      <c r="O18" s="559">
        <f>N16-O14</f>
        <v>16</v>
      </c>
      <c r="P18" s="559">
        <f t="shared" ref="P18:Y18" si="0">O16+O18-P14</f>
        <v>36</v>
      </c>
      <c r="Q18" s="559">
        <f t="shared" si="0"/>
        <v>60</v>
      </c>
      <c r="R18" s="559">
        <f t="shared" si="0"/>
        <v>86</v>
      </c>
      <c r="S18" s="559">
        <f t="shared" si="0"/>
        <v>111</v>
      </c>
      <c r="T18" s="559">
        <f t="shared" si="0"/>
        <v>158</v>
      </c>
      <c r="U18" s="559">
        <f t="shared" si="0"/>
        <v>213</v>
      </c>
      <c r="V18" s="559">
        <f t="shared" si="0"/>
        <v>283</v>
      </c>
      <c r="W18" s="559">
        <f t="shared" si="0"/>
        <v>24</v>
      </c>
      <c r="X18" s="559">
        <f t="shared" si="0"/>
        <v>119</v>
      </c>
      <c r="Y18" s="560">
        <f t="shared" si="0"/>
        <v>235</v>
      </c>
      <c r="AD18" s="562" t="s">
        <v>30</v>
      </c>
      <c r="AE18" s="562">
        <f>2.5*AE20</f>
        <v>2875</v>
      </c>
    </row>
    <row r="19" spans="2:31" ht="15.6" x14ac:dyDescent="0.3">
      <c r="B19" s="15" t="s">
        <v>46</v>
      </c>
      <c r="C19" t="s">
        <v>38</v>
      </c>
      <c r="D19" s="16">
        <f>SQRT(2*D15*G14/I4)</f>
        <v>384.83469581640867</v>
      </c>
      <c r="AD19" s="561" t="s">
        <v>34</v>
      </c>
      <c r="AE19" s="561">
        <f>2*AE20</f>
        <v>2300</v>
      </c>
    </row>
    <row r="20" spans="2:31" ht="15.6" x14ac:dyDescent="0.3">
      <c r="B20" s="15" t="s">
        <v>47</v>
      </c>
      <c r="C20" t="s">
        <v>38</v>
      </c>
      <c r="D20" s="16">
        <f>SQRT(2*D15*G13/I4)</f>
        <v>421.56528761857203</v>
      </c>
      <c r="K20" t="s">
        <v>48</v>
      </c>
      <c r="M20" s="27" t="s">
        <v>26</v>
      </c>
      <c r="N20" s="27" t="s">
        <v>27</v>
      </c>
      <c r="O20" s="29" t="s">
        <v>5</v>
      </c>
      <c r="P20" s="29" t="s">
        <v>7</v>
      </c>
      <c r="Q20" s="29" t="s">
        <v>9</v>
      </c>
      <c r="R20" s="29" t="s">
        <v>11</v>
      </c>
      <c r="S20" s="29" t="s">
        <v>13</v>
      </c>
      <c r="T20" s="29" t="s">
        <v>15</v>
      </c>
      <c r="U20" s="29" t="s">
        <v>17</v>
      </c>
      <c r="V20" s="29" t="s">
        <v>19</v>
      </c>
      <c r="W20" s="29" t="s">
        <v>21</v>
      </c>
      <c r="X20" s="29" t="s">
        <v>23</v>
      </c>
      <c r="Y20" s="29" t="s">
        <v>28</v>
      </c>
      <c r="AA20" s="32" t="s">
        <v>29</v>
      </c>
      <c r="AB20" s="32">
        <f>9*G14</f>
        <v>25875</v>
      </c>
      <c r="AD20" s="562" t="s">
        <v>42</v>
      </c>
      <c r="AE20" s="563">
        <v>1150</v>
      </c>
    </row>
    <row r="21" spans="2:31" x14ac:dyDescent="0.3">
      <c r="B21" s="15" t="s">
        <v>49</v>
      </c>
      <c r="C21" t="s">
        <v>38</v>
      </c>
      <c r="D21" s="16">
        <f>SQRT(2*D15*G12/I4)</f>
        <v>455.34255275094921</v>
      </c>
      <c r="K21" t="s">
        <v>50</v>
      </c>
      <c r="M21" s="27" t="s">
        <v>32</v>
      </c>
      <c r="N21" s="28"/>
      <c r="O21" s="30">
        <v>328</v>
      </c>
      <c r="P21" s="30">
        <v>324</v>
      </c>
      <c r="Q21" s="30">
        <v>320</v>
      </c>
      <c r="R21" s="30">
        <v>318</v>
      </c>
      <c r="S21" s="30">
        <v>319</v>
      </c>
      <c r="T21" s="30">
        <v>297</v>
      </c>
      <c r="U21" s="30">
        <v>289</v>
      </c>
      <c r="V21" s="30">
        <v>274</v>
      </c>
      <c r="W21" s="30">
        <v>259</v>
      </c>
      <c r="X21" s="30">
        <v>249</v>
      </c>
      <c r="Y21" s="30">
        <v>228</v>
      </c>
      <c r="AA21" s="33" t="s">
        <v>33</v>
      </c>
      <c r="AB21" s="31">
        <f>SUM(O25:Y25)*I4</f>
        <v>22613.4876</v>
      </c>
    </row>
    <row r="22" spans="2:31" x14ac:dyDescent="0.3">
      <c r="B22" s="15" t="s">
        <v>51</v>
      </c>
      <c r="C22" t="s">
        <v>38</v>
      </c>
      <c r="D22" s="16">
        <f>SQRT(2*D15*G11/I4)</f>
        <v>486.78166457516915</v>
      </c>
      <c r="M22" s="27" t="s">
        <v>35</v>
      </c>
      <c r="N22" s="30">
        <v>328</v>
      </c>
      <c r="O22" s="30">
        <v>324</v>
      </c>
      <c r="P22" s="30">
        <v>320</v>
      </c>
      <c r="Q22" s="30">
        <v>318</v>
      </c>
      <c r="R22" s="30">
        <v>319</v>
      </c>
      <c r="S22" s="30">
        <v>297</v>
      </c>
      <c r="T22" s="30">
        <v>289</v>
      </c>
      <c r="U22" s="30">
        <v>274</v>
      </c>
      <c r="V22" s="30">
        <v>259</v>
      </c>
      <c r="W22" s="30">
        <v>249</v>
      </c>
      <c r="X22" s="30">
        <v>228</v>
      </c>
      <c r="Y22" s="28"/>
      <c r="AA22" s="33" t="s">
        <v>36</v>
      </c>
      <c r="AB22" s="31">
        <f>AB20+AB21</f>
        <v>48488.4876</v>
      </c>
    </row>
    <row r="23" spans="2:31" x14ac:dyDescent="0.3">
      <c r="B23" s="15" t="s">
        <v>52</v>
      </c>
      <c r="C23" t="s">
        <v>38</v>
      </c>
      <c r="D23" s="16">
        <f>SQRT(2*D15*G10/I4)</f>
        <v>516.30992396756631</v>
      </c>
      <c r="M23" s="27" t="s">
        <v>40</v>
      </c>
      <c r="N23" s="28">
        <v>385</v>
      </c>
      <c r="O23" s="28">
        <v>385</v>
      </c>
      <c r="P23" s="28">
        <v>385</v>
      </c>
      <c r="Q23" s="28">
        <v>385</v>
      </c>
      <c r="R23" s="28">
        <v>385</v>
      </c>
      <c r="S23" s="28">
        <v>0</v>
      </c>
      <c r="T23" s="28">
        <v>385</v>
      </c>
      <c r="U23" s="28">
        <v>385</v>
      </c>
      <c r="V23" s="28">
        <v>385</v>
      </c>
      <c r="W23" s="28">
        <v>0</v>
      </c>
      <c r="X23" s="28">
        <v>385</v>
      </c>
      <c r="Y23" s="28"/>
    </row>
    <row r="24" spans="2:31" x14ac:dyDescent="0.3">
      <c r="B24" s="15" t="s">
        <v>53</v>
      </c>
      <c r="C24" t="s">
        <v>38</v>
      </c>
      <c r="D24" s="16">
        <f>SQRT(2*D15*G9/I4)</f>
        <v>596.18334717589926</v>
      </c>
      <c r="M24" s="27" t="s">
        <v>43</v>
      </c>
      <c r="N24" s="28"/>
      <c r="O24" s="28">
        <v>385</v>
      </c>
      <c r="P24" s="28">
        <v>385</v>
      </c>
      <c r="Q24" s="28">
        <v>385</v>
      </c>
      <c r="R24" s="28">
        <v>385</v>
      </c>
      <c r="S24" s="28">
        <v>385</v>
      </c>
      <c r="T24" s="28">
        <v>0</v>
      </c>
      <c r="U24" s="28">
        <v>385</v>
      </c>
      <c r="V24" s="28">
        <v>385</v>
      </c>
      <c r="W24" s="28">
        <v>385</v>
      </c>
      <c r="X24" s="28">
        <v>0</v>
      </c>
      <c r="Y24" s="28">
        <v>385</v>
      </c>
    </row>
    <row r="25" spans="2:31" x14ac:dyDescent="0.3">
      <c r="B25" s="15" t="s">
        <v>54</v>
      </c>
      <c r="C25" t="s">
        <v>38</v>
      </c>
      <c r="D25" s="16">
        <f>SQRT(2*D15*G8/I4)</f>
        <v>643.95161362597878</v>
      </c>
      <c r="M25" s="27" t="s">
        <v>45</v>
      </c>
      <c r="N25" s="28"/>
      <c r="O25" s="28">
        <f>N23-O21</f>
        <v>57</v>
      </c>
      <c r="P25" s="28">
        <f>O23+O25-P21</f>
        <v>118</v>
      </c>
      <c r="Q25" s="28">
        <f>P23+P25-Q21</f>
        <v>183</v>
      </c>
      <c r="R25" s="28">
        <f>Q23+Q25-R21</f>
        <v>250</v>
      </c>
      <c r="S25" s="28">
        <f>R23+R25-S21</f>
        <v>316</v>
      </c>
      <c r="T25" s="28">
        <f>S25-T21</f>
        <v>19</v>
      </c>
      <c r="U25" s="28">
        <f>T23+T25-U21</f>
        <v>115</v>
      </c>
      <c r="V25" s="28">
        <f>U23+U25-V21</f>
        <v>226</v>
      </c>
      <c r="W25" s="28">
        <f>V23+V25-W21</f>
        <v>352</v>
      </c>
      <c r="X25" s="28">
        <f>W25-X21</f>
        <v>103</v>
      </c>
      <c r="Y25" s="28">
        <f>X23+X25-Y21</f>
        <v>260</v>
      </c>
    </row>
    <row r="26" spans="2:31" x14ac:dyDescent="0.3">
      <c r="B26" s="15" t="s">
        <v>55</v>
      </c>
      <c r="C26" t="s">
        <v>38</v>
      </c>
      <c r="D26" s="16">
        <f>SQRT(2*G6*D15/I4)</f>
        <v>688.413231956755</v>
      </c>
    </row>
    <row r="27" spans="2:31" x14ac:dyDescent="0.3">
      <c r="B27" s="15" t="s">
        <v>56</v>
      </c>
      <c r="C27" t="s">
        <v>38</v>
      </c>
      <c r="D27" s="16">
        <f>SQRT(2*D15*G5/I4)</f>
        <v>730.17249686275375</v>
      </c>
      <c r="K27" t="s">
        <v>57</v>
      </c>
      <c r="M27" s="34" t="s">
        <v>26</v>
      </c>
      <c r="N27" s="34" t="s">
        <v>27</v>
      </c>
      <c r="O27" s="36" t="s">
        <v>5</v>
      </c>
      <c r="P27" s="36" t="s">
        <v>7</v>
      </c>
      <c r="Q27" s="36" t="s">
        <v>9</v>
      </c>
      <c r="R27" s="36" t="s">
        <v>11</v>
      </c>
      <c r="S27" s="36" t="s">
        <v>13</v>
      </c>
      <c r="T27" s="36" t="s">
        <v>15</v>
      </c>
      <c r="U27" s="36" t="s">
        <v>17</v>
      </c>
      <c r="V27" s="36" t="s">
        <v>19</v>
      </c>
      <c r="W27" s="36" t="s">
        <v>21</v>
      </c>
      <c r="X27" s="36" t="s">
        <v>23</v>
      </c>
      <c r="Y27" s="36" t="s">
        <v>28</v>
      </c>
      <c r="AA27" s="39" t="s">
        <v>29</v>
      </c>
      <c r="AB27" s="39">
        <f>8*G13</f>
        <v>27600</v>
      </c>
    </row>
    <row r="28" spans="2:31" x14ac:dyDescent="0.3">
      <c r="K28" t="s">
        <v>58</v>
      </c>
      <c r="M28" s="34" t="s">
        <v>32</v>
      </c>
      <c r="N28" s="35"/>
      <c r="O28" s="37">
        <v>328</v>
      </c>
      <c r="P28" s="37">
        <v>324</v>
      </c>
      <c r="Q28" s="37">
        <v>320</v>
      </c>
      <c r="R28" s="37">
        <v>318</v>
      </c>
      <c r="S28" s="37">
        <v>319</v>
      </c>
      <c r="T28" s="37">
        <v>297</v>
      </c>
      <c r="U28" s="37">
        <v>289</v>
      </c>
      <c r="V28" s="37">
        <v>274</v>
      </c>
      <c r="W28" s="37">
        <v>259</v>
      </c>
      <c r="X28" s="37">
        <v>249</v>
      </c>
      <c r="Y28" s="37">
        <v>228</v>
      </c>
      <c r="AA28" s="40" t="s">
        <v>33</v>
      </c>
      <c r="AB28" s="38">
        <f>SUM(O32:Y32)*I4</f>
        <v>27794.566800000001</v>
      </c>
    </row>
    <row r="29" spans="2:31" x14ac:dyDescent="0.3">
      <c r="M29" s="34" t="s">
        <v>35</v>
      </c>
      <c r="N29" s="37">
        <v>328</v>
      </c>
      <c r="O29" s="37">
        <v>324</v>
      </c>
      <c r="P29" s="37">
        <v>320</v>
      </c>
      <c r="Q29" s="37">
        <v>318</v>
      </c>
      <c r="R29" s="37">
        <v>319</v>
      </c>
      <c r="S29" s="37">
        <v>297</v>
      </c>
      <c r="T29" s="37">
        <v>289</v>
      </c>
      <c r="U29" s="37">
        <v>274</v>
      </c>
      <c r="V29" s="37">
        <v>259</v>
      </c>
      <c r="W29" s="37">
        <v>249</v>
      </c>
      <c r="X29" s="37">
        <v>228</v>
      </c>
      <c r="Y29" s="35"/>
      <c r="AA29" s="40" t="s">
        <v>36</v>
      </c>
      <c r="AB29" s="38">
        <f>AB27+AB28</f>
        <v>55394.566800000001</v>
      </c>
    </row>
    <row r="30" spans="2:31" x14ac:dyDescent="0.3">
      <c r="M30" s="34" t="s">
        <v>40</v>
      </c>
      <c r="N30" s="35">
        <v>422</v>
      </c>
      <c r="O30" s="35">
        <v>422</v>
      </c>
      <c r="P30" s="35">
        <v>422</v>
      </c>
      <c r="Q30" s="35">
        <v>422</v>
      </c>
      <c r="R30" s="35">
        <v>0</v>
      </c>
      <c r="S30" s="35">
        <v>422</v>
      </c>
      <c r="T30" s="35">
        <v>422</v>
      </c>
      <c r="U30" s="35">
        <v>0</v>
      </c>
      <c r="V30" s="35">
        <v>422</v>
      </c>
      <c r="W30" s="35">
        <v>422</v>
      </c>
      <c r="X30" s="35">
        <v>0</v>
      </c>
      <c r="Y30" s="35"/>
    </row>
    <row r="31" spans="2:31" x14ac:dyDescent="0.3">
      <c r="M31" s="34" t="s">
        <v>43</v>
      </c>
      <c r="N31" s="35"/>
      <c r="O31" s="35">
        <v>422</v>
      </c>
      <c r="P31" s="35">
        <v>422</v>
      </c>
      <c r="Q31" s="35">
        <v>422</v>
      </c>
      <c r="R31" s="35">
        <v>422</v>
      </c>
      <c r="S31" s="35">
        <v>0</v>
      </c>
      <c r="T31" s="35">
        <v>422</v>
      </c>
      <c r="U31" s="35">
        <v>422</v>
      </c>
      <c r="V31" s="35">
        <v>0</v>
      </c>
      <c r="W31" s="35">
        <v>422</v>
      </c>
      <c r="X31" s="35">
        <v>422</v>
      </c>
      <c r="Y31" s="35">
        <v>0</v>
      </c>
    </row>
    <row r="32" spans="2:31" x14ac:dyDescent="0.3">
      <c r="M32" s="34" t="s">
        <v>45</v>
      </c>
      <c r="N32" s="35"/>
      <c r="O32" s="35">
        <f>N30-O28</f>
        <v>94</v>
      </c>
      <c r="P32" s="35">
        <f>O30+O32-P28</f>
        <v>192</v>
      </c>
      <c r="Q32" s="35">
        <f>P30+P32-Q28</f>
        <v>294</v>
      </c>
      <c r="R32" s="35">
        <f>Q30+Q32-R28</f>
        <v>398</v>
      </c>
      <c r="S32" s="35">
        <f>R32-S28</f>
        <v>79</v>
      </c>
      <c r="T32" s="35">
        <f>S30+S32-T28</f>
        <v>204</v>
      </c>
      <c r="U32" s="35">
        <f>T30+T32-U28</f>
        <v>337</v>
      </c>
      <c r="V32" s="35">
        <f>U32-V28</f>
        <v>63</v>
      </c>
      <c r="W32" s="35">
        <f>V30+V32-W28</f>
        <v>226</v>
      </c>
      <c r="X32" s="35">
        <f>W30+W32-X28</f>
        <v>399</v>
      </c>
      <c r="Y32" s="35">
        <f>X32-Y28</f>
        <v>171</v>
      </c>
    </row>
    <row r="34" spans="11:28" ht="15.6" x14ac:dyDescent="0.3">
      <c r="K34" t="s">
        <v>59</v>
      </c>
      <c r="M34" s="534" t="s">
        <v>26</v>
      </c>
      <c r="N34" s="535" t="s">
        <v>27</v>
      </c>
      <c r="O34" s="535" t="s">
        <v>5</v>
      </c>
      <c r="P34" s="535" t="s">
        <v>7</v>
      </c>
      <c r="Q34" s="535" t="s">
        <v>9</v>
      </c>
      <c r="R34" s="535" t="s">
        <v>11</v>
      </c>
      <c r="S34" s="535" t="s">
        <v>13</v>
      </c>
      <c r="T34" s="535" t="s">
        <v>15</v>
      </c>
      <c r="U34" s="535" t="s">
        <v>17</v>
      </c>
      <c r="V34" s="535" t="s">
        <v>19</v>
      </c>
      <c r="W34" s="535" t="s">
        <v>21</v>
      </c>
      <c r="X34" s="535" t="s">
        <v>23</v>
      </c>
      <c r="Y34" s="536" t="s">
        <v>28</v>
      </c>
      <c r="AA34" s="44" t="s">
        <v>29</v>
      </c>
      <c r="AB34" s="44">
        <f>7*G11</f>
        <v>32200</v>
      </c>
    </row>
    <row r="35" spans="11:28" ht="15.6" x14ac:dyDescent="0.3">
      <c r="K35" t="s">
        <v>60</v>
      </c>
      <c r="M35" s="537" t="s">
        <v>32</v>
      </c>
      <c r="N35" s="538"/>
      <c r="O35" s="538">
        <v>328</v>
      </c>
      <c r="P35" s="538">
        <v>324</v>
      </c>
      <c r="Q35" s="538">
        <v>320</v>
      </c>
      <c r="R35" s="538">
        <v>318</v>
      </c>
      <c r="S35" s="538">
        <v>319</v>
      </c>
      <c r="T35" s="538">
        <v>297</v>
      </c>
      <c r="U35" s="538">
        <v>289</v>
      </c>
      <c r="V35" s="538">
        <v>274</v>
      </c>
      <c r="W35" s="538">
        <v>259</v>
      </c>
      <c r="X35" s="538">
        <v>249</v>
      </c>
      <c r="Y35" s="539">
        <v>228</v>
      </c>
      <c r="AA35" s="45" t="s">
        <v>33</v>
      </c>
      <c r="AB35" s="43">
        <f>SUM(O39:Y39)*I4</f>
        <v>28937.119200000001</v>
      </c>
    </row>
    <row r="36" spans="11:28" ht="15.6" x14ac:dyDescent="0.3">
      <c r="M36" s="537" t="s">
        <v>35</v>
      </c>
      <c r="N36" s="538">
        <v>328</v>
      </c>
      <c r="O36" s="538">
        <v>324</v>
      </c>
      <c r="P36" s="538">
        <v>320</v>
      </c>
      <c r="Q36" s="538">
        <v>318</v>
      </c>
      <c r="R36" s="538">
        <v>319</v>
      </c>
      <c r="S36" s="538">
        <v>297</v>
      </c>
      <c r="T36" s="538">
        <v>289</v>
      </c>
      <c r="U36" s="538">
        <v>274</v>
      </c>
      <c r="V36" s="538">
        <v>259</v>
      </c>
      <c r="W36" s="538">
        <v>249</v>
      </c>
      <c r="X36" s="538">
        <v>228</v>
      </c>
      <c r="Y36" s="539"/>
      <c r="AA36" s="45" t="s">
        <v>36</v>
      </c>
      <c r="AB36" s="43">
        <f>AB34+AB35</f>
        <v>61137.119200000001</v>
      </c>
    </row>
    <row r="37" spans="11:28" ht="15.6" x14ac:dyDescent="0.3">
      <c r="M37" s="537" t="s">
        <v>40</v>
      </c>
      <c r="N37" s="538">
        <v>487</v>
      </c>
      <c r="O37" s="538">
        <v>487</v>
      </c>
      <c r="P37" s="538">
        <v>0</v>
      </c>
      <c r="Q37" s="538">
        <v>487</v>
      </c>
      <c r="R37" s="538">
        <v>487</v>
      </c>
      <c r="S37" s="538">
        <v>0</v>
      </c>
      <c r="T37" s="538">
        <v>487</v>
      </c>
      <c r="U37" s="538">
        <v>487</v>
      </c>
      <c r="V37" s="538">
        <v>0</v>
      </c>
      <c r="W37" s="538">
        <v>487</v>
      </c>
      <c r="X37" s="538">
        <v>0</v>
      </c>
      <c r="Y37" s="539"/>
    </row>
    <row r="38" spans="11:28" ht="15.6" x14ac:dyDescent="0.3">
      <c r="M38" s="537" t="s">
        <v>43</v>
      </c>
      <c r="N38" s="538"/>
      <c r="O38" s="538">
        <v>487</v>
      </c>
      <c r="P38" s="538">
        <v>487</v>
      </c>
      <c r="Q38" s="538">
        <v>0</v>
      </c>
      <c r="R38" s="538">
        <v>487</v>
      </c>
      <c r="S38" s="538">
        <v>487</v>
      </c>
      <c r="T38" s="538">
        <v>0</v>
      </c>
      <c r="U38" s="538">
        <v>487</v>
      </c>
      <c r="V38" s="538">
        <v>487</v>
      </c>
      <c r="W38" s="538">
        <v>0</v>
      </c>
      <c r="X38" s="538">
        <v>487</v>
      </c>
      <c r="Y38" s="539">
        <v>0</v>
      </c>
    </row>
    <row r="39" spans="11:28" ht="15.6" x14ac:dyDescent="0.3">
      <c r="M39" s="540" t="s">
        <v>45</v>
      </c>
      <c r="N39" s="541"/>
      <c r="O39" s="541">
        <f>N37-O35</f>
        <v>159</v>
      </c>
      <c r="P39" s="541">
        <f>O37+O39-P35</f>
        <v>322</v>
      </c>
      <c r="Q39" s="541">
        <f>P39-Q35</f>
        <v>2</v>
      </c>
      <c r="R39" s="541">
        <f>Q37+Q39-R35</f>
        <v>171</v>
      </c>
      <c r="S39" s="541">
        <f>R37+R39-S35</f>
        <v>339</v>
      </c>
      <c r="T39" s="541">
        <f>S39-T35</f>
        <v>42</v>
      </c>
      <c r="U39" s="541">
        <f>T37+T39-U35</f>
        <v>240</v>
      </c>
      <c r="V39" s="541">
        <f>U37+U39-V35</f>
        <v>453</v>
      </c>
      <c r="W39" s="541">
        <f>V39-W35</f>
        <v>194</v>
      </c>
      <c r="X39" s="541">
        <f>W37+W39-X35</f>
        <v>432</v>
      </c>
      <c r="Y39" s="542">
        <f>X39-Y35</f>
        <v>204</v>
      </c>
    </row>
    <row r="41" spans="11:28" x14ac:dyDescent="0.3">
      <c r="K41" t="s">
        <v>61</v>
      </c>
      <c r="M41" s="46" t="s">
        <v>26</v>
      </c>
      <c r="N41" s="46" t="s">
        <v>27</v>
      </c>
      <c r="O41" s="48" t="s">
        <v>5</v>
      </c>
      <c r="P41" s="48" t="s">
        <v>7</v>
      </c>
      <c r="Q41" s="48" t="s">
        <v>9</v>
      </c>
      <c r="R41" s="48" t="s">
        <v>11</v>
      </c>
      <c r="S41" s="48" t="s">
        <v>13</v>
      </c>
      <c r="T41" s="48" t="s">
        <v>15</v>
      </c>
      <c r="U41" s="48" t="s">
        <v>17</v>
      </c>
      <c r="V41" s="48" t="s">
        <v>19</v>
      </c>
      <c r="W41" s="48" t="s">
        <v>21</v>
      </c>
      <c r="X41" s="48" t="s">
        <v>23</v>
      </c>
      <c r="Y41" s="48" t="s">
        <v>28</v>
      </c>
      <c r="AA41" s="51" t="s">
        <v>29</v>
      </c>
      <c r="AB41" s="51">
        <f>6*G9</f>
        <v>41400</v>
      </c>
    </row>
    <row r="42" spans="11:28" x14ac:dyDescent="0.3">
      <c r="K42" t="s">
        <v>62</v>
      </c>
      <c r="M42" s="46" t="s">
        <v>32</v>
      </c>
      <c r="N42" s="47"/>
      <c r="O42" s="49">
        <v>328</v>
      </c>
      <c r="P42" s="49">
        <v>324</v>
      </c>
      <c r="Q42" s="49">
        <v>320</v>
      </c>
      <c r="R42" s="49">
        <v>318</v>
      </c>
      <c r="S42" s="49">
        <v>319</v>
      </c>
      <c r="T42" s="49">
        <v>297</v>
      </c>
      <c r="U42" s="49">
        <v>289</v>
      </c>
      <c r="V42" s="49">
        <v>274</v>
      </c>
      <c r="W42" s="49">
        <v>259</v>
      </c>
      <c r="X42" s="49">
        <v>249</v>
      </c>
      <c r="Y42" s="49">
        <v>228</v>
      </c>
      <c r="AA42" s="52" t="s">
        <v>33</v>
      </c>
      <c r="AB42" s="50">
        <f>SUM(O46:Y46)*I4</f>
        <v>39695.211600000002</v>
      </c>
    </row>
    <row r="43" spans="11:28" x14ac:dyDescent="0.3">
      <c r="M43" s="46" t="s">
        <v>35</v>
      </c>
      <c r="N43" s="49">
        <v>328</v>
      </c>
      <c r="O43" s="49">
        <v>324</v>
      </c>
      <c r="P43" s="49">
        <v>320</v>
      </c>
      <c r="Q43" s="49">
        <v>318</v>
      </c>
      <c r="R43" s="49">
        <v>319</v>
      </c>
      <c r="S43" s="49">
        <v>297</v>
      </c>
      <c r="T43" s="49">
        <v>289</v>
      </c>
      <c r="U43" s="49">
        <v>274</v>
      </c>
      <c r="V43" s="49">
        <v>259</v>
      </c>
      <c r="W43" s="49">
        <v>249</v>
      </c>
      <c r="X43" s="49">
        <v>228</v>
      </c>
      <c r="Y43" s="47"/>
      <c r="AA43" s="52" t="s">
        <v>36</v>
      </c>
      <c r="AB43" s="50">
        <f>AB41+AB42</f>
        <v>81095.21160000001</v>
      </c>
    </row>
    <row r="44" spans="11:28" x14ac:dyDescent="0.3">
      <c r="M44" s="46" t="s">
        <v>40</v>
      </c>
      <c r="N44" s="47">
        <v>596</v>
      </c>
      <c r="O44" s="47">
        <v>596</v>
      </c>
      <c r="P44" s="47">
        <v>0</v>
      </c>
      <c r="Q44" s="47">
        <v>596</v>
      </c>
      <c r="R44" s="47">
        <v>0</v>
      </c>
      <c r="S44" s="47">
        <v>596</v>
      </c>
      <c r="T44" s="47">
        <v>0</v>
      </c>
      <c r="U44" s="47">
        <v>596</v>
      </c>
      <c r="V44" s="47">
        <v>0</v>
      </c>
      <c r="W44" s="47">
        <v>0</v>
      </c>
      <c r="X44" s="47">
        <v>596</v>
      </c>
      <c r="Y44" s="47"/>
    </row>
    <row r="45" spans="11:28" x14ac:dyDescent="0.3">
      <c r="M45" s="46" t="s">
        <v>43</v>
      </c>
      <c r="N45" s="47"/>
      <c r="O45" s="47">
        <v>596</v>
      </c>
      <c r="P45" s="47">
        <v>596</v>
      </c>
      <c r="Q45" s="47">
        <v>0</v>
      </c>
      <c r="R45" s="47">
        <v>596</v>
      </c>
      <c r="S45" s="47">
        <v>0</v>
      </c>
      <c r="T45" s="47">
        <v>596</v>
      </c>
      <c r="U45" s="47">
        <v>0</v>
      </c>
      <c r="V45" s="47">
        <v>596</v>
      </c>
      <c r="W45" s="47">
        <v>0</v>
      </c>
      <c r="X45" s="47">
        <v>0</v>
      </c>
      <c r="Y45" s="47">
        <v>596</v>
      </c>
    </row>
    <row r="46" spans="11:28" x14ac:dyDescent="0.3">
      <c r="M46" s="46" t="s">
        <v>45</v>
      </c>
      <c r="N46" s="47"/>
      <c r="O46" s="47">
        <f>N44-O42</f>
        <v>268</v>
      </c>
      <c r="P46" s="47">
        <f>O44+O46-P42</f>
        <v>540</v>
      </c>
      <c r="Q46" s="47">
        <f>P46-Q42</f>
        <v>220</v>
      </c>
      <c r="R46" s="47">
        <f>Q44+Q46-R42</f>
        <v>498</v>
      </c>
      <c r="S46" s="47">
        <f>R46-S42</f>
        <v>179</v>
      </c>
      <c r="T46" s="47">
        <f>S44+S46-T42</f>
        <v>478</v>
      </c>
      <c r="U46" s="47">
        <f>T46-U42</f>
        <v>189</v>
      </c>
      <c r="V46" s="47">
        <f>U44+U46-V42</f>
        <v>511</v>
      </c>
      <c r="W46" s="47">
        <f>V46-W42</f>
        <v>252</v>
      </c>
      <c r="X46" s="47">
        <f>W46-X42</f>
        <v>3</v>
      </c>
      <c r="Y46" s="47">
        <f>X44+X46-Y42</f>
        <v>371</v>
      </c>
    </row>
    <row r="48" spans="11:28" x14ac:dyDescent="0.3">
      <c r="K48" t="s">
        <v>63</v>
      </c>
      <c r="M48" s="53" t="s">
        <v>26</v>
      </c>
      <c r="N48" s="53" t="s">
        <v>27</v>
      </c>
      <c r="O48" s="55" t="s">
        <v>5</v>
      </c>
      <c r="P48" s="55" t="s">
        <v>7</v>
      </c>
      <c r="Q48" s="55" t="s">
        <v>9</v>
      </c>
      <c r="R48" s="55" t="s">
        <v>11</v>
      </c>
      <c r="S48" s="55" t="s">
        <v>13</v>
      </c>
      <c r="T48" s="55" t="s">
        <v>15</v>
      </c>
      <c r="U48" s="55" t="s">
        <v>17</v>
      </c>
      <c r="V48" s="55" t="s">
        <v>19</v>
      </c>
      <c r="W48" s="55" t="s">
        <v>21</v>
      </c>
      <c r="X48" s="55" t="s">
        <v>23</v>
      </c>
      <c r="Y48" s="58" t="s">
        <v>28</v>
      </c>
      <c r="Z48" s="61"/>
      <c r="AA48" s="62" t="s">
        <v>29</v>
      </c>
      <c r="AB48" s="62">
        <f>5*G8</f>
        <v>40250</v>
      </c>
    </row>
    <row r="49" spans="11:28" x14ac:dyDescent="0.3">
      <c r="K49" t="s">
        <v>64</v>
      </c>
      <c r="M49" s="53" t="s">
        <v>32</v>
      </c>
      <c r="N49" s="54"/>
      <c r="O49" s="57">
        <v>328</v>
      </c>
      <c r="P49" s="57">
        <v>324</v>
      </c>
      <c r="Q49" s="57">
        <v>320</v>
      </c>
      <c r="R49" s="57">
        <v>318</v>
      </c>
      <c r="S49" s="57">
        <v>319</v>
      </c>
      <c r="T49" s="57">
        <v>297</v>
      </c>
      <c r="U49" s="57">
        <v>289</v>
      </c>
      <c r="V49" s="57">
        <v>274</v>
      </c>
      <c r="W49" s="57">
        <v>259</v>
      </c>
      <c r="X49" s="57">
        <v>249</v>
      </c>
      <c r="Y49" s="59">
        <v>228</v>
      </c>
      <c r="Z49" s="61"/>
      <c r="AA49" s="63" t="s">
        <v>33</v>
      </c>
      <c r="AB49" s="56">
        <f>SUM(O53:Y53)*I4</f>
        <v>39559.462800000001</v>
      </c>
    </row>
    <row r="50" spans="11:28" x14ac:dyDescent="0.3">
      <c r="M50" s="53" t="s">
        <v>35</v>
      </c>
      <c r="N50" s="57">
        <v>328</v>
      </c>
      <c r="O50" s="57">
        <v>324</v>
      </c>
      <c r="P50" s="57">
        <v>320</v>
      </c>
      <c r="Q50" s="57">
        <v>318</v>
      </c>
      <c r="R50" s="57">
        <v>319</v>
      </c>
      <c r="S50" s="57">
        <v>297</v>
      </c>
      <c r="T50" s="57">
        <v>289</v>
      </c>
      <c r="U50" s="57">
        <v>274</v>
      </c>
      <c r="V50" s="57">
        <v>259</v>
      </c>
      <c r="W50" s="57">
        <v>249</v>
      </c>
      <c r="X50" s="57">
        <v>228</v>
      </c>
      <c r="Y50" s="60"/>
      <c r="Z50" s="61"/>
      <c r="AA50" s="63" t="s">
        <v>36</v>
      </c>
      <c r="AB50" s="56">
        <f>AB48+AB49</f>
        <v>79809.462800000008</v>
      </c>
    </row>
    <row r="51" spans="11:28" x14ac:dyDescent="0.3">
      <c r="M51" s="53" t="s">
        <v>40</v>
      </c>
      <c r="N51" s="54">
        <v>644</v>
      </c>
      <c r="O51" s="54">
        <v>644</v>
      </c>
      <c r="P51" s="54">
        <v>0</v>
      </c>
      <c r="Q51" s="54">
        <v>644</v>
      </c>
      <c r="R51" s="54">
        <v>0</v>
      </c>
      <c r="S51" s="54">
        <v>0</v>
      </c>
      <c r="T51" s="54">
        <v>644</v>
      </c>
      <c r="U51" s="54">
        <v>0</v>
      </c>
      <c r="V51" s="54">
        <v>644</v>
      </c>
      <c r="W51" s="54">
        <v>0</v>
      </c>
      <c r="X51" s="54">
        <v>0</v>
      </c>
      <c r="Y51" s="60"/>
      <c r="Z51" s="61"/>
    </row>
    <row r="52" spans="11:28" x14ac:dyDescent="0.3">
      <c r="M52" s="53" t="s">
        <v>43</v>
      </c>
      <c r="N52" s="54"/>
      <c r="O52" s="54">
        <v>644</v>
      </c>
      <c r="P52" s="54">
        <v>644</v>
      </c>
      <c r="Q52" s="54">
        <v>0</v>
      </c>
      <c r="R52" s="54">
        <v>644</v>
      </c>
      <c r="S52" s="54">
        <v>0</v>
      </c>
      <c r="T52" s="54">
        <v>0</v>
      </c>
      <c r="U52" s="54">
        <v>644</v>
      </c>
      <c r="V52" s="54">
        <v>0</v>
      </c>
      <c r="W52" s="54">
        <v>644</v>
      </c>
      <c r="X52" s="54">
        <v>0</v>
      </c>
      <c r="Y52" s="54">
        <v>0</v>
      </c>
      <c r="Z52" s="61"/>
    </row>
    <row r="53" spans="11:28" x14ac:dyDescent="0.3">
      <c r="M53" s="53" t="s">
        <v>45</v>
      </c>
      <c r="N53" s="54"/>
      <c r="O53" s="54">
        <f>N51-O49</f>
        <v>316</v>
      </c>
      <c r="P53" s="54">
        <f>O51+O53-P49</f>
        <v>636</v>
      </c>
      <c r="Q53" s="54">
        <f>P53-Q49</f>
        <v>316</v>
      </c>
      <c r="R53" s="54">
        <f>Q51+Q53-R49</f>
        <v>642</v>
      </c>
      <c r="S53" s="54">
        <f>R53-S49</f>
        <v>323</v>
      </c>
      <c r="T53" s="54">
        <f>S53-T49</f>
        <v>26</v>
      </c>
      <c r="U53" s="54">
        <f>T51+T53-U49</f>
        <v>381</v>
      </c>
      <c r="V53" s="54">
        <f>U53-V49</f>
        <v>107</v>
      </c>
      <c r="W53" s="54">
        <f>V51+V53-W49</f>
        <v>492</v>
      </c>
      <c r="X53" s="54">
        <f>W53-X49</f>
        <v>243</v>
      </c>
      <c r="Y53" s="60">
        <f>X53-Y49</f>
        <v>15</v>
      </c>
      <c r="Z53" s="61"/>
    </row>
    <row r="55" spans="11:28" ht="15.6" x14ac:dyDescent="0.3">
      <c r="K55" t="s">
        <v>65</v>
      </c>
      <c r="M55" s="543" t="s">
        <v>26</v>
      </c>
      <c r="N55" s="544" t="s">
        <v>27</v>
      </c>
      <c r="O55" s="544" t="s">
        <v>5</v>
      </c>
      <c r="P55" s="544" t="s">
        <v>7</v>
      </c>
      <c r="Q55" s="544" t="s">
        <v>9</v>
      </c>
      <c r="R55" s="544" t="s">
        <v>11</v>
      </c>
      <c r="S55" s="544" t="s">
        <v>13</v>
      </c>
      <c r="T55" s="544" t="s">
        <v>15</v>
      </c>
      <c r="U55" s="544" t="s">
        <v>17</v>
      </c>
      <c r="V55" s="544" t="s">
        <v>19</v>
      </c>
      <c r="W55" s="544" t="s">
        <v>21</v>
      </c>
      <c r="X55" s="544" t="s">
        <v>23</v>
      </c>
      <c r="Y55" s="545" t="s">
        <v>28</v>
      </c>
      <c r="AA55" s="65" t="s">
        <v>29</v>
      </c>
      <c r="AB55" s="65">
        <f>5*G6</f>
        <v>46000</v>
      </c>
    </row>
    <row r="56" spans="11:28" ht="15.6" x14ac:dyDescent="0.3">
      <c r="K56" t="s">
        <v>66</v>
      </c>
      <c r="M56" s="546" t="s">
        <v>32</v>
      </c>
      <c r="N56" s="547"/>
      <c r="O56" s="547">
        <v>328</v>
      </c>
      <c r="P56" s="547">
        <v>324</v>
      </c>
      <c r="Q56" s="547">
        <v>320</v>
      </c>
      <c r="R56" s="547">
        <v>318</v>
      </c>
      <c r="S56" s="547">
        <v>319</v>
      </c>
      <c r="T56" s="547">
        <v>297</v>
      </c>
      <c r="U56" s="547">
        <v>289</v>
      </c>
      <c r="V56" s="547">
        <v>274</v>
      </c>
      <c r="W56" s="547">
        <v>259</v>
      </c>
      <c r="X56" s="547">
        <v>249</v>
      </c>
      <c r="Y56" s="548">
        <v>228</v>
      </c>
      <c r="AA56" s="66" t="s">
        <v>33</v>
      </c>
      <c r="AB56" s="64">
        <f>SUM(O60:Y60)*I4</f>
        <v>34627.256399999998</v>
      </c>
    </row>
    <row r="57" spans="11:28" ht="15.6" x14ac:dyDescent="0.3">
      <c r="M57" s="546" t="s">
        <v>35</v>
      </c>
      <c r="N57" s="547">
        <v>328</v>
      </c>
      <c r="O57" s="547">
        <v>324</v>
      </c>
      <c r="P57" s="547">
        <v>320</v>
      </c>
      <c r="Q57" s="547">
        <v>318</v>
      </c>
      <c r="R57" s="547">
        <v>319</v>
      </c>
      <c r="S57" s="547">
        <v>297</v>
      </c>
      <c r="T57" s="547">
        <v>289</v>
      </c>
      <c r="U57" s="547">
        <v>274</v>
      </c>
      <c r="V57" s="547">
        <v>259</v>
      </c>
      <c r="W57" s="547">
        <v>249</v>
      </c>
      <c r="X57" s="547">
        <v>228</v>
      </c>
      <c r="Y57" s="548"/>
      <c r="AA57" s="66" t="s">
        <v>36</v>
      </c>
      <c r="AB57" s="64">
        <f>AB55+AB56</f>
        <v>80627.256399999998</v>
      </c>
    </row>
    <row r="58" spans="11:28" ht="15.6" x14ac:dyDescent="0.3">
      <c r="M58" s="546" t="s">
        <v>40</v>
      </c>
      <c r="N58" s="547">
        <v>688</v>
      </c>
      <c r="O58" s="547">
        <v>0</v>
      </c>
      <c r="P58" s="547">
        <v>688</v>
      </c>
      <c r="Q58" s="547">
        <v>0</v>
      </c>
      <c r="R58" s="547">
        <v>688</v>
      </c>
      <c r="S58" s="547">
        <v>0</v>
      </c>
      <c r="T58" s="547">
        <v>688</v>
      </c>
      <c r="U58" s="547">
        <v>0</v>
      </c>
      <c r="V58" s="547">
        <v>0</v>
      </c>
      <c r="W58" s="547">
        <v>688</v>
      </c>
      <c r="X58" s="547">
        <v>0</v>
      </c>
      <c r="Y58" s="548"/>
    </row>
    <row r="59" spans="11:28" ht="15.6" x14ac:dyDescent="0.3">
      <c r="M59" s="546" t="s">
        <v>43</v>
      </c>
      <c r="N59" s="547"/>
      <c r="O59" s="547">
        <v>688</v>
      </c>
      <c r="P59" s="547">
        <v>0</v>
      </c>
      <c r="Q59" s="547">
        <v>688</v>
      </c>
      <c r="R59" s="547">
        <v>0</v>
      </c>
      <c r="S59" s="547">
        <v>688</v>
      </c>
      <c r="T59" s="547">
        <v>0</v>
      </c>
      <c r="U59" s="547">
        <v>688</v>
      </c>
      <c r="V59" s="547">
        <v>0</v>
      </c>
      <c r="W59" s="547">
        <v>0</v>
      </c>
      <c r="X59" s="547">
        <v>688</v>
      </c>
      <c r="Y59" s="548">
        <v>0</v>
      </c>
    </row>
    <row r="60" spans="11:28" ht="15.6" x14ac:dyDescent="0.3">
      <c r="M60" s="549" t="s">
        <v>45</v>
      </c>
      <c r="N60" s="550"/>
      <c r="O60" s="550">
        <f>N58-O56</f>
        <v>360</v>
      </c>
      <c r="P60" s="550">
        <f>O60-P56</f>
        <v>36</v>
      </c>
      <c r="Q60" s="550">
        <f>P58+P60-Q56</f>
        <v>404</v>
      </c>
      <c r="R60" s="550">
        <f>Q60-R56</f>
        <v>86</v>
      </c>
      <c r="S60" s="550">
        <f>R58+R60-S56</f>
        <v>455</v>
      </c>
      <c r="T60" s="550">
        <f>S60-T56</f>
        <v>158</v>
      </c>
      <c r="U60" s="550">
        <f>T58+T60-U56</f>
        <v>557</v>
      </c>
      <c r="V60" s="550">
        <f>U60-V56</f>
        <v>283</v>
      </c>
      <c r="W60" s="550">
        <f>V60-W56</f>
        <v>24</v>
      </c>
      <c r="X60" s="550">
        <f>W58+W60-X56</f>
        <v>463</v>
      </c>
      <c r="Y60" s="551">
        <f>X60-Y56</f>
        <v>235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F858-DBEF-4857-AA6C-3E52F72B29A4}">
  <dimension ref="A1:AA86"/>
  <sheetViews>
    <sheetView zoomScale="90" zoomScaleNormal="90" workbookViewId="0">
      <selection activeCell="A2" sqref="A2"/>
    </sheetView>
  </sheetViews>
  <sheetFormatPr defaultColWidth="8.77734375" defaultRowHeight="14.4" x14ac:dyDescent="0.3"/>
  <cols>
    <col min="4" max="4" width="9.109375" bestFit="1" customWidth="1"/>
    <col min="5" max="5" width="10.44140625" bestFit="1" customWidth="1"/>
    <col min="8" max="9" width="9.109375" bestFit="1" customWidth="1"/>
    <col min="10" max="10" width="20.77734375" bestFit="1" customWidth="1"/>
    <col min="11" max="11" width="10.44140625" bestFit="1" customWidth="1"/>
    <col min="12" max="12" width="7.77734375" bestFit="1" customWidth="1"/>
    <col min="13" max="13" width="9" bestFit="1" customWidth="1"/>
    <col min="23" max="23" width="10" bestFit="1" customWidth="1"/>
    <col min="25" max="25" width="11" bestFit="1" customWidth="1"/>
    <col min="26" max="26" width="13.77734375" bestFit="1" customWidth="1"/>
  </cols>
  <sheetData>
    <row r="1" spans="1:27" x14ac:dyDescent="0.3">
      <c r="A1" t="s">
        <v>67</v>
      </c>
      <c r="B1" s="228" t="s">
        <v>68</v>
      </c>
      <c r="C1" s="231" t="s">
        <v>1</v>
      </c>
      <c r="D1" s="229" t="s">
        <v>2</v>
      </c>
      <c r="F1" t="s">
        <v>42</v>
      </c>
      <c r="G1">
        <v>2300</v>
      </c>
      <c r="I1" s="229" t="s">
        <v>40</v>
      </c>
      <c r="J1" s="137" t="s">
        <v>26</v>
      </c>
      <c r="K1" s="128" t="s">
        <v>27</v>
      </c>
      <c r="L1" s="129" t="s">
        <v>5</v>
      </c>
      <c r="M1" s="129" t="s">
        <v>7</v>
      </c>
      <c r="N1" s="129" t="s">
        <v>9</v>
      </c>
      <c r="O1" s="129" t="s">
        <v>11</v>
      </c>
      <c r="P1" s="129" t="s">
        <v>13</v>
      </c>
      <c r="Q1" s="129" t="s">
        <v>15</v>
      </c>
      <c r="R1" s="129" t="s">
        <v>17</v>
      </c>
      <c r="S1" s="129" t="s">
        <v>19</v>
      </c>
      <c r="T1" s="129" t="s">
        <v>21</v>
      </c>
      <c r="U1" s="129" t="s">
        <v>23</v>
      </c>
      <c r="V1" s="129" t="s">
        <v>28</v>
      </c>
    </row>
    <row r="2" spans="1:27" x14ac:dyDescent="0.3">
      <c r="A2" t="s">
        <v>69</v>
      </c>
      <c r="B2" s="608" t="s">
        <v>5</v>
      </c>
      <c r="C2" s="230">
        <v>22</v>
      </c>
      <c r="D2" s="228">
        <v>14.1</v>
      </c>
      <c r="F2" t="s">
        <v>3</v>
      </c>
      <c r="G2">
        <v>0.46</v>
      </c>
      <c r="J2" s="128" t="s">
        <v>32</v>
      </c>
      <c r="L2" s="227">
        <v>15</v>
      </c>
      <c r="M2" s="227">
        <v>21</v>
      </c>
      <c r="N2" s="227">
        <v>21</v>
      </c>
      <c r="O2" s="227">
        <v>20</v>
      </c>
      <c r="P2" s="227">
        <v>16</v>
      </c>
      <c r="Q2" s="227">
        <v>15</v>
      </c>
      <c r="R2" s="227">
        <v>26</v>
      </c>
      <c r="S2" s="227">
        <v>26</v>
      </c>
      <c r="T2" s="227">
        <v>22</v>
      </c>
      <c r="U2" s="227">
        <v>18</v>
      </c>
      <c r="V2" s="227">
        <v>16</v>
      </c>
    </row>
    <row r="3" spans="1:27" x14ac:dyDescent="0.3">
      <c r="B3" s="608" t="s">
        <v>7</v>
      </c>
      <c r="C3" s="230">
        <v>36</v>
      </c>
      <c r="D3" s="228">
        <v>20.67</v>
      </c>
      <c r="F3" t="s">
        <v>70</v>
      </c>
      <c r="G3">
        <f>243/8</f>
        <v>30.375</v>
      </c>
      <c r="J3" s="128" t="s">
        <v>71</v>
      </c>
      <c r="K3" s="227">
        <v>15</v>
      </c>
      <c r="L3" s="227">
        <v>21</v>
      </c>
      <c r="M3" s="227">
        <v>21</v>
      </c>
      <c r="N3" s="227">
        <v>20</v>
      </c>
      <c r="O3" s="227">
        <v>16</v>
      </c>
      <c r="P3" s="227">
        <v>15</v>
      </c>
      <c r="Q3" s="227">
        <v>26</v>
      </c>
      <c r="R3" s="227">
        <v>26</v>
      </c>
      <c r="S3" s="227">
        <v>22</v>
      </c>
      <c r="T3" s="227">
        <v>18</v>
      </c>
      <c r="U3" s="227">
        <v>16</v>
      </c>
    </row>
    <row r="4" spans="1:27" x14ac:dyDescent="0.3">
      <c r="B4" s="608" t="s">
        <v>9</v>
      </c>
      <c r="C4" s="230">
        <v>21</v>
      </c>
      <c r="D4" s="228">
        <v>20.77</v>
      </c>
      <c r="F4" t="s">
        <v>72</v>
      </c>
      <c r="G4">
        <f>AVERAGE(D2:D12)</f>
        <v>19.077272727272728</v>
      </c>
      <c r="J4" s="128" t="s">
        <v>40</v>
      </c>
      <c r="K4">
        <v>80</v>
      </c>
      <c r="L4">
        <v>0</v>
      </c>
      <c r="M4">
        <v>0</v>
      </c>
      <c r="N4">
        <v>0</v>
      </c>
      <c r="O4">
        <v>80</v>
      </c>
      <c r="P4">
        <v>0</v>
      </c>
      <c r="Q4">
        <v>0</v>
      </c>
      <c r="R4">
        <v>0</v>
      </c>
      <c r="S4">
        <v>80</v>
      </c>
      <c r="T4">
        <v>0</v>
      </c>
      <c r="U4">
        <v>0</v>
      </c>
      <c r="V4">
        <v>0</v>
      </c>
      <c r="W4" cm="1">
        <f t="array" ref="W4">SUM(K4:V4/80)</f>
        <v>3</v>
      </c>
    </row>
    <row r="5" spans="1:27" x14ac:dyDescent="0.3">
      <c r="B5" s="608" t="s">
        <v>11</v>
      </c>
      <c r="C5" s="230">
        <v>16</v>
      </c>
      <c r="D5" s="228">
        <v>19.34</v>
      </c>
      <c r="F5" t="s">
        <v>73</v>
      </c>
      <c r="G5">
        <f>G2*G3</f>
        <v>13.9725</v>
      </c>
      <c r="J5" s="128" t="s">
        <v>43</v>
      </c>
      <c r="L5">
        <v>80</v>
      </c>
      <c r="M5">
        <v>0</v>
      </c>
      <c r="N5">
        <v>0</v>
      </c>
      <c r="O5">
        <v>0</v>
      </c>
      <c r="P5">
        <v>80</v>
      </c>
      <c r="Q5">
        <v>0</v>
      </c>
      <c r="R5">
        <v>0</v>
      </c>
      <c r="S5">
        <v>0</v>
      </c>
      <c r="T5">
        <v>80</v>
      </c>
      <c r="U5">
        <v>0</v>
      </c>
      <c r="V5">
        <v>0</v>
      </c>
    </row>
    <row r="6" spans="1:27" x14ac:dyDescent="0.3">
      <c r="B6" s="608" t="s">
        <v>13</v>
      </c>
      <c r="C6" s="230">
        <v>8</v>
      </c>
      <c r="D6" s="228">
        <v>15.94</v>
      </c>
      <c r="F6" t="s">
        <v>38</v>
      </c>
      <c r="G6">
        <f>SQRT(2*G1*G4/G5)</f>
        <v>79.25013321072052</v>
      </c>
      <c r="J6" s="128" t="s">
        <v>45</v>
      </c>
      <c r="L6">
        <f>K4-L2</f>
        <v>65</v>
      </c>
      <c r="M6">
        <f>L4+L6-M2</f>
        <v>44</v>
      </c>
      <c r="N6">
        <f>M4+M6-N2</f>
        <v>23</v>
      </c>
      <c r="O6">
        <f t="shared" ref="O6:V6" si="0">N4+N6-O2</f>
        <v>3</v>
      </c>
      <c r="P6">
        <f>O4+O6-P2</f>
        <v>67</v>
      </c>
      <c r="Q6">
        <f t="shared" si="0"/>
        <v>52</v>
      </c>
      <c r="R6">
        <f t="shared" si="0"/>
        <v>26</v>
      </c>
      <c r="S6">
        <f t="shared" si="0"/>
        <v>0</v>
      </c>
      <c r="T6">
        <f t="shared" si="0"/>
        <v>58</v>
      </c>
      <c r="U6">
        <f t="shared" si="0"/>
        <v>40</v>
      </c>
      <c r="V6">
        <f t="shared" si="0"/>
        <v>24</v>
      </c>
    </row>
    <row r="7" spans="1:27" x14ac:dyDescent="0.3">
      <c r="B7" s="608" t="s">
        <v>15</v>
      </c>
      <c r="C7" s="230">
        <v>12</v>
      </c>
      <c r="D7" s="228">
        <v>14.75</v>
      </c>
      <c r="G7">
        <v>80</v>
      </c>
    </row>
    <row r="8" spans="1:27" x14ac:dyDescent="0.3">
      <c r="B8" s="608" t="s">
        <v>17</v>
      </c>
      <c r="C8" s="230">
        <v>51</v>
      </c>
      <c r="D8" s="228">
        <v>25.63</v>
      </c>
      <c r="J8" s="128" t="s">
        <v>74</v>
      </c>
      <c r="K8">
        <f>3*G1</f>
        <v>6900</v>
      </c>
    </row>
    <row r="9" spans="1:27" x14ac:dyDescent="0.3">
      <c r="B9" s="608" t="s">
        <v>19</v>
      </c>
      <c r="C9" s="230">
        <v>24</v>
      </c>
      <c r="D9" s="228">
        <v>25.14</v>
      </c>
      <c r="J9" s="128" t="s">
        <v>75</v>
      </c>
      <c r="K9">
        <f>SUM(L6:V6)*G5</f>
        <v>5616.9449999999997</v>
      </c>
    </row>
    <row r="10" spans="1:27" x14ac:dyDescent="0.3">
      <c r="B10" s="608" t="s">
        <v>21</v>
      </c>
      <c r="C10" s="230">
        <v>12</v>
      </c>
      <c r="D10" s="228">
        <v>21.2</v>
      </c>
      <c r="J10" s="128" t="s">
        <v>76</v>
      </c>
      <c r="K10">
        <f>SUM(K8:K9)</f>
        <v>12516.945</v>
      </c>
    </row>
    <row r="11" spans="1:27" x14ac:dyDescent="0.3">
      <c r="B11" s="608" t="s">
        <v>23</v>
      </c>
      <c r="C11" s="230">
        <v>8</v>
      </c>
      <c r="D11" s="228">
        <v>17.239999999999998</v>
      </c>
    </row>
    <row r="12" spans="1:27" x14ac:dyDescent="0.3">
      <c r="B12" s="608" t="s">
        <v>28</v>
      </c>
      <c r="C12" s="230">
        <v>10</v>
      </c>
      <c r="D12" s="228">
        <v>15.07</v>
      </c>
    </row>
    <row r="13" spans="1:27" x14ac:dyDescent="0.3">
      <c r="J13" s="362" t="s">
        <v>77</v>
      </c>
      <c r="K13" s="231" t="s">
        <v>78</v>
      </c>
      <c r="L13" s="227">
        <v>15</v>
      </c>
      <c r="M13" s="227">
        <v>21</v>
      </c>
      <c r="N13" s="227">
        <v>21</v>
      </c>
      <c r="O13" s="227">
        <v>20</v>
      </c>
      <c r="P13" s="227">
        <v>16</v>
      </c>
      <c r="Q13" s="227">
        <v>15</v>
      </c>
      <c r="R13" s="227">
        <v>26</v>
      </c>
      <c r="S13" s="227">
        <v>26</v>
      </c>
      <c r="T13" s="227">
        <v>22</v>
      </c>
      <c r="U13" s="227">
        <v>18</v>
      </c>
      <c r="V13" s="227">
        <v>16</v>
      </c>
    </row>
    <row r="14" spans="1:27" x14ac:dyDescent="0.3">
      <c r="J14" t="s">
        <v>79</v>
      </c>
      <c r="Y14" s="612" t="s">
        <v>68</v>
      </c>
      <c r="Z14" s="391" t="s">
        <v>80</v>
      </c>
      <c r="AA14" s="391" t="s">
        <v>81</v>
      </c>
    </row>
    <row r="15" spans="1:27" x14ac:dyDescent="0.3">
      <c r="J15" s="122" t="s">
        <v>82</v>
      </c>
      <c r="K15" s="122">
        <f>G1</f>
        <v>2300</v>
      </c>
      <c r="L15" s="4" t="s">
        <v>83</v>
      </c>
      <c r="M15" s="4">
        <f>SUM(L13:P13)</f>
        <v>93</v>
      </c>
      <c r="N15" s="4"/>
      <c r="O15" s="4" t="s">
        <v>84</v>
      </c>
      <c r="P15" s="4">
        <f>M13*G5+2*N13*G5+3*O13*G5+4*P13*G5</f>
        <v>2612.8575000000001</v>
      </c>
      <c r="Q15" s="4"/>
      <c r="R15" s="4"/>
      <c r="S15" s="4"/>
      <c r="T15" s="4"/>
      <c r="U15" s="4"/>
      <c r="V15" s="4"/>
      <c r="Y15" s="608" t="s">
        <v>5</v>
      </c>
      <c r="Z15" s="391">
        <v>93</v>
      </c>
      <c r="AA15" s="391">
        <f>Z15-L13</f>
        <v>78</v>
      </c>
    </row>
    <row r="16" spans="1:27" x14ac:dyDescent="0.3">
      <c r="A16" s="67"/>
      <c r="J16" s="122" t="s">
        <v>85</v>
      </c>
      <c r="K16" s="122">
        <f>(G1+G5*M13)/2</f>
        <v>1296.7112500000001</v>
      </c>
      <c r="Y16" s="608" t="s">
        <v>7</v>
      </c>
      <c r="Z16" s="391"/>
      <c r="AA16" s="391">
        <f>AA15-M13</f>
        <v>57</v>
      </c>
    </row>
    <row r="17" spans="8:27" x14ac:dyDescent="0.3">
      <c r="J17" s="122" t="s">
        <v>86</v>
      </c>
      <c r="K17" s="122">
        <f>(G1+M13*G5+N13*G5*2)/3</f>
        <v>1060.0891666666666</v>
      </c>
      <c r="Y17" s="608" t="s">
        <v>9</v>
      </c>
      <c r="Z17" s="391"/>
      <c r="AA17" s="391">
        <f>AA16-N13</f>
        <v>36</v>
      </c>
    </row>
    <row r="18" spans="8:27" x14ac:dyDescent="0.3">
      <c r="J18" s="122" t="s">
        <v>87</v>
      </c>
      <c r="K18" s="122">
        <f>(G1+M13*G5+2*N13*G5+3*O13*G5)/4</f>
        <v>1004.654375</v>
      </c>
      <c r="Q18" s="4"/>
      <c r="Y18" s="608" t="s">
        <v>11</v>
      </c>
      <c r="Z18" s="391"/>
      <c r="AA18" s="391">
        <f>AA17-O13</f>
        <v>16</v>
      </c>
    </row>
    <row r="19" spans="8:27" x14ac:dyDescent="0.3">
      <c r="H19" t="s">
        <v>88</v>
      </c>
      <c r="I19" t="s">
        <v>89</v>
      </c>
      <c r="J19" s="122" t="s">
        <v>90</v>
      </c>
      <c r="K19" s="122">
        <f>(G1+M13*G5+2*N13*G5+3*O13*G5+4*P13*G5)/5</f>
        <v>982.57150000000001</v>
      </c>
      <c r="Q19" s="4"/>
      <c r="Y19" s="608" t="s">
        <v>13</v>
      </c>
      <c r="Z19" s="391"/>
      <c r="AA19" s="391">
        <f>AA18-P13</f>
        <v>0</v>
      </c>
    </row>
    <row r="20" spans="8:27" x14ac:dyDescent="0.3">
      <c r="J20" s="122" t="s">
        <v>91</v>
      </c>
      <c r="K20" s="122">
        <f>(G1+M13*G5+2*N13*G5+3*O13*G5+4*P13*G5+5*Q13*G5)/6</f>
        <v>993.46583333333331</v>
      </c>
      <c r="Q20" s="4"/>
      <c r="Y20" s="608" t="s">
        <v>15</v>
      </c>
      <c r="Z20" s="391">
        <v>107</v>
      </c>
      <c r="AA20" s="391">
        <f>Z20-Q13</f>
        <v>92</v>
      </c>
    </row>
    <row r="21" spans="8:27" x14ac:dyDescent="0.3">
      <c r="Q21" s="4"/>
      <c r="Y21" s="608" t="s">
        <v>17</v>
      </c>
      <c r="Z21" s="391"/>
      <c r="AA21" s="391">
        <f>AA20-R13</f>
        <v>66</v>
      </c>
    </row>
    <row r="22" spans="8:27" x14ac:dyDescent="0.3">
      <c r="J22" t="s">
        <v>92</v>
      </c>
      <c r="Q22" s="4"/>
      <c r="Y22" s="608" t="s">
        <v>19</v>
      </c>
      <c r="Z22" s="391"/>
      <c r="AA22" s="391">
        <f>AA21-S13</f>
        <v>40</v>
      </c>
    </row>
    <row r="23" spans="8:27" x14ac:dyDescent="0.3">
      <c r="J23" s="122" t="s">
        <v>82</v>
      </c>
      <c r="K23" s="122">
        <f>G1</f>
        <v>2300</v>
      </c>
      <c r="L23" s="4" t="s">
        <v>93</v>
      </c>
      <c r="M23">
        <f>SUM(Q13:U13)</f>
        <v>107</v>
      </c>
      <c r="O23" t="s">
        <v>84</v>
      </c>
      <c r="P23">
        <f>R13*G5+2*S13*G5+3*T13*G5+4*U13*G5</f>
        <v>3018.06</v>
      </c>
      <c r="Q23" s="4"/>
      <c r="Y23" s="608" t="s">
        <v>21</v>
      </c>
      <c r="Z23" s="391"/>
      <c r="AA23" s="391">
        <f>AA22-T13</f>
        <v>18</v>
      </c>
    </row>
    <row r="24" spans="8:27" x14ac:dyDescent="0.3">
      <c r="J24" s="122" t="s">
        <v>85</v>
      </c>
      <c r="K24" s="122">
        <f>(G1+R13*G5)/2</f>
        <v>1331.6424999999999</v>
      </c>
      <c r="Q24" s="4"/>
      <c r="Y24" s="608" t="s">
        <v>23</v>
      </c>
      <c r="Z24" s="391"/>
      <c r="AA24" s="391">
        <f>AA23-U13</f>
        <v>0</v>
      </c>
    </row>
    <row r="25" spans="8:27" x14ac:dyDescent="0.3">
      <c r="J25" s="122" t="s">
        <v>86</v>
      </c>
      <c r="K25" s="122">
        <f>(G1+R13*G5+2*S13*G5)/3</f>
        <v>1129.9516666666666</v>
      </c>
      <c r="Q25" s="4"/>
      <c r="Y25" s="608" t="s">
        <v>28</v>
      </c>
      <c r="Z25" s="391">
        <v>16</v>
      </c>
      <c r="AA25" s="391">
        <f>Z25-V13</f>
        <v>0</v>
      </c>
    </row>
    <row r="26" spans="8:27" x14ac:dyDescent="0.3">
      <c r="J26" s="122" t="s">
        <v>87</v>
      </c>
      <c r="K26" s="122">
        <f>(G1+R13*G5+2*S13*G5+3*T13*G5)/4</f>
        <v>1078.01</v>
      </c>
      <c r="Q26" s="4"/>
    </row>
    <row r="27" spans="8:27" x14ac:dyDescent="0.3">
      <c r="H27" t="s">
        <v>88</v>
      </c>
      <c r="I27" t="s">
        <v>89</v>
      </c>
      <c r="J27" s="122" t="s">
        <v>90</v>
      </c>
      <c r="K27" s="122">
        <f>(G1+R13*G5+2*S13*G5+3*T13*G5+4*U13*G5)/5</f>
        <v>1063.6119999999999</v>
      </c>
      <c r="Q27" s="4"/>
    </row>
    <row r="28" spans="8:27" x14ac:dyDescent="0.3">
      <c r="J28" s="122" t="s">
        <v>91</v>
      </c>
      <c r="K28" s="122">
        <f>(G1+R13*G5+2*S13*G5+3*T13*G5+4*U13*G5+5*V13*G5)/5</f>
        <v>1287.172</v>
      </c>
      <c r="Q28" s="4"/>
    </row>
    <row r="30" spans="8:27" x14ac:dyDescent="0.3">
      <c r="J30" t="s">
        <v>94</v>
      </c>
    </row>
    <row r="31" spans="8:27" x14ac:dyDescent="0.3">
      <c r="J31" s="122" t="s">
        <v>82</v>
      </c>
      <c r="K31" s="122">
        <v>2300</v>
      </c>
      <c r="L31" s="4" t="s">
        <v>95</v>
      </c>
      <c r="M31">
        <f>V13</f>
        <v>16</v>
      </c>
      <c r="O31" t="s">
        <v>84</v>
      </c>
      <c r="P31">
        <v>0</v>
      </c>
    </row>
    <row r="33" spans="8:27" x14ac:dyDescent="0.3">
      <c r="J33" s="128" t="s">
        <v>74</v>
      </c>
      <c r="K33">
        <f>3*G1</f>
        <v>6900</v>
      </c>
    </row>
    <row r="34" spans="8:27" x14ac:dyDescent="0.3">
      <c r="J34" s="128" t="s">
        <v>75</v>
      </c>
      <c r="K34">
        <f>SUM(P15,P23,P31)</f>
        <v>5630.9174999999996</v>
      </c>
    </row>
    <row r="35" spans="8:27" x14ac:dyDescent="0.3">
      <c r="J35" s="128" t="s">
        <v>76</v>
      </c>
      <c r="K35">
        <f>SUM(K33:K34)</f>
        <v>12530.9175</v>
      </c>
    </row>
    <row r="37" spans="8:27" x14ac:dyDescent="0.3">
      <c r="J37" s="362" t="s">
        <v>96</v>
      </c>
      <c r="K37" s="231" t="s">
        <v>78</v>
      </c>
      <c r="L37" s="227">
        <v>15</v>
      </c>
      <c r="M37" s="227">
        <v>21</v>
      </c>
      <c r="N37" s="227">
        <v>21</v>
      </c>
      <c r="O37" s="227">
        <v>20</v>
      </c>
      <c r="P37" s="227">
        <v>16</v>
      </c>
      <c r="Q37" s="227">
        <v>15</v>
      </c>
      <c r="R37" s="227">
        <v>26</v>
      </c>
      <c r="S37" s="227">
        <v>26</v>
      </c>
      <c r="T37" s="227">
        <v>22</v>
      </c>
      <c r="U37" s="227">
        <v>18</v>
      </c>
      <c r="V37" s="227">
        <v>16</v>
      </c>
    </row>
    <row r="38" spans="8:27" x14ac:dyDescent="0.3">
      <c r="J38" t="s">
        <v>79</v>
      </c>
      <c r="Y38" s="612" t="s">
        <v>68</v>
      </c>
      <c r="Z38" s="391" t="s">
        <v>80</v>
      </c>
      <c r="AA38" s="391" t="s">
        <v>81</v>
      </c>
    </row>
    <row r="39" spans="8:27" x14ac:dyDescent="0.3">
      <c r="J39" s="122" t="s">
        <v>82</v>
      </c>
      <c r="K39">
        <f>G1/L37</f>
        <v>153.33333333333334</v>
      </c>
      <c r="L39" t="s">
        <v>83</v>
      </c>
      <c r="M39">
        <f>SUM(L37:O37)</f>
        <v>77</v>
      </c>
      <c r="O39" t="s">
        <v>84</v>
      </c>
      <c r="P39">
        <f>M37*G5+2*G5*N37+3*O37*G5</f>
        <v>1718.6175000000001</v>
      </c>
      <c r="Y39" s="608" t="s">
        <v>5</v>
      </c>
      <c r="Z39" s="391">
        <v>77</v>
      </c>
      <c r="AA39" s="391">
        <f>Z39-L37</f>
        <v>62</v>
      </c>
    </row>
    <row r="40" spans="8:27" x14ac:dyDescent="0.3">
      <c r="J40" s="122" t="s">
        <v>85</v>
      </c>
      <c r="K40">
        <f>(G1+G5*M37)/(L37+M37)</f>
        <v>72.039513888888891</v>
      </c>
      <c r="Y40" s="608" t="s">
        <v>7</v>
      </c>
      <c r="Z40" s="391"/>
      <c r="AA40" s="391">
        <f>AA39-M37</f>
        <v>41</v>
      </c>
    </row>
    <row r="41" spans="8:27" x14ac:dyDescent="0.3">
      <c r="J41" s="122" t="s">
        <v>86</v>
      </c>
      <c r="K41">
        <f>(G1+M37*G5+2*N37*G5)/(L37+M37+N37)</f>
        <v>55.794166666666662</v>
      </c>
      <c r="Y41" s="608" t="s">
        <v>9</v>
      </c>
      <c r="Z41" s="391"/>
      <c r="AA41" s="391">
        <f>AA40-N37</f>
        <v>20</v>
      </c>
    </row>
    <row r="42" spans="8:27" x14ac:dyDescent="0.3">
      <c r="J42" s="278" t="s">
        <v>87</v>
      </c>
      <c r="K42">
        <f>(G1+M37*G5+2*N37*G5+3*O37*G5)/(L37+M37+N37+O37)</f>
        <v>52.189837662337659</v>
      </c>
      <c r="Y42" s="608" t="s">
        <v>11</v>
      </c>
      <c r="Z42" s="391"/>
      <c r="AA42" s="391">
        <f>AA41-O37</f>
        <v>0</v>
      </c>
    </row>
    <row r="43" spans="8:27" x14ac:dyDescent="0.3">
      <c r="H43" t="s">
        <v>97</v>
      </c>
      <c r="I43" t="s">
        <v>89</v>
      </c>
      <c r="J43" s="122" t="s">
        <v>90</v>
      </c>
      <c r="K43">
        <f>(G1+M37*G5+2*N37*G5+3*O37*G5+4*P37*G5)/(L37+M37+N37+O37+P37)</f>
        <v>52.826424731182797</v>
      </c>
      <c r="Y43" s="608" t="s">
        <v>13</v>
      </c>
      <c r="Z43" s="391">
        <v>83</v>
      </c>
      <c r="AA43" s="391">
        <f>Z43-P37</f>
        <v>67</v>
      </c>
    </row>
    <row r="44" spans="8:27" x14ac:dyDescent="0.3">
      <c r="Y44" s="608" t="s">
        <v>15</v>
      </c>
      <c r="Z44" s="391"/>
      <c r="AA44" s="391">
        <f>AA43-Q37</f>
        <v>52</v>
      </c>
    </row>
    <row r="45" spans="8:27" x14ac:dyDescent="0.3">
      <c r="J45" t="s">
        <v>98</v>
      </c>
      <c r="Y45" s="608" t="s">
        <v>17</v>
      </c>
      <c r="Z45" s="391"/>
      <c r="AA45" s="391">
        <f>AA44-R37</f>
        <v>26</v>
      </c>
    </row>
    <row r="46" spans="8:27" x14ac:dyDescent="0.3">
      <c r="J46" s="122" t="s">
        <v>82</v>
      </c>
      <c r="K46">
        <f>G1/P37</f>
        <v>143.75</v>
      </c>
      <c r="L46" s="4" t="s">
        <v>93</v>
      </c>
      <c r="M46">
        <f>SUM(P37:S37)</f>
        <v>83</v>
      </c>
      <c r="O46" t="s">
        <v>84</v>
      </c>
      <c r="P46">
        <f>Q37*G5+2*G5*R37+3*G5*S37</f>
        <v>2026.0125</v>
      </c>
      <c r="Y46" s="608" t="s">
        <v>19</v>
      </c>
      <c r="Z46" s="391"/>
      <c r="AA46" s="391">
        <f>AA45-S37</f>
        <v>0</v>
      </c>
    </row>
    <row r="47" spans="8:27" x14ac:dyDescent="0.3">
      <c r="J47" s="122" t="s">
        <v>85</v>
      </c>
      <c r="K47">
        <f>(G1+G5*Q37)/(P37+Q37)</f>
        <v>80.954435483870967</v>
      </c>
      <c r="Y47" s="608" t="s">
        <v>21</v>
      </c>
      <c r="Z47" s="391">
        <v>56</v>
      </c>
      <c r="AA47" s="391">
        <f>Z47-T37</f>
        <v>34</v>
      </c>
    </row>
    <row r="48" spans="8:27" x14ac:dyDescent="0.3">
      <c r="J48" s="122" t="s">
        <v>86</v>
      </c>
      <c r="K48">
        <f>(G1+G5*Q37+2*R37*G5)/(P37+Q37+R37)</f>
        <v>56.774692982456145</v>
      </c>
      <c r="Y48" s="608" t="s">
        <v>23</v>
      </c>
      <c r="Z48" s="391"/>
      <c r="AA48" s="391">
        <f>AA47-U37</f>
        <v>16</v>
      </c>
    </row>
    <row r="49" spans="8:27" x14ac:dyDescent="0.3">
      <c r="J49" s="278" t="s">
        <v>87</v>
      </c>
      <c r="K49">
        <f>(G1+G5*Q37+2*R37*G5+3*S37*G5)/(P37+Q37+R37+S37)</f>
        <v>52.120632530120488</v>
      </c>
      <c r="Y49" s="608" t="s">
        <v>28</v>
      </c>
      <c r="Z49" s="391"/>
      <c r="AA49" s="391">
        <f>AA48-V37</f>
        <v>0</v>
      </c>
    </row>
    <row r="50" spans="8:27" x14ac:dyDescent="0.3">
      <c r="H50" t="s">
        <v>97</v>
      </c>
      <c r="I50" t="s">
        <v>89</v>
      </c>
      <c r="J50" s="122" t="s">
        <v>90</v>
      </c>
      <c r="K50">
        <f>(G1+G5*Q37+2*R37*G5+3*S37*G5+4*T37*G5)/(P37+Q37+R37+S37+T37)</f>
        <v>52.910404761904765</v>
      </c>
    </row>
    <row r="52" spans="8:27" x14ac:dyDescent="0.3">
      <c r="J52" t="s">
        <v>99</v>
      </c>
    </row>
    <row r="53" spans="8:27" x14ac:dyDescent="0.3">
      <c r="J53" s="122" t="s">
        <v>82</v>
      </c>
      <c r="K53">
        <f>G1/T37</f>
        <v>104.54545454545455</v>
      </c>
      <c r="L53" s="4" t="s">
        <v>95</v>
      </c>
      <c r="M53">
        <f>SUM(T37:V37)</f>
        <v>56</v>
      </c>
      <c r="O53" t="s">
        <v>84</v>
      </c>
      <c r="P53">
        <f>U37*G5+2*V37*G5</f>
        <v>698.625</v>
      </c>
    </row>
    <row r="54" spans="8:27" x14ac:dyDescent="0.3">
      <c r="J54" s="122" t="s">
        <v>85</v>
      </c>
      <c r="K54">
        <f>(G1+U37*G5)/(T37+U37)</f>
        <v>63.787625000000006</v>
      </c>
    </row>
    <row r="55" spans="8:27" x14ac:dyDescent="0.3">
      <c r="J55" s="122" t="s">
        <v>86</v>
      </c>
      <c r="K55">
        <f>(G1+U37*G5+2*V37*G5)/(T37+U37+V37)</f>
        <v>53.546875</v>
      </c>
    </row>
    <row r="57" spans="8:27" x14ac:dyDescent="0.3">
      <c r="J57" s="128" t="s">
        <v>74</v>
      </c>
      <c r="K57">
        <f>G1*3</f>
        <v>6900</v>
      </c>
    </row>
    <row r="58" spans="8:27" x14ac:dyDescent="0.3">
      <c r="J58" s="128" t="s">
        <v>75</v>
      </c>
      <c r="K58">
        <f>SUM(P39+P46+P53)</f>
        <v>4443.2550000000001</v>
      </c>
    </row>
    <row r="59" spans="8:27" x14ac:dyDescent="0.3">
      <c r="J59" s="128" t="s">
        <v>76</v>
      </c>
      <c r="K59">
        <f>SUM(K57:K58)</f>
        <v>11343.255000000001</v>
      </c>
    </row>
    <row r="61" spans="8:27" x14ac:dyDescent="0.3">
      <c r="J61" s="362" t="s">
        <v>100</v>
      </c>
      <c r="K61" s="231" t="s">
        <v>78</v>
      </c>
      <c r="L61" s="227">
        <v>15</v>
      </c>
      <c r="M61" s="227">
        <v>21</v>
      </c>
      <c r="N61" s="227">
        <v>21</v>
      </c>
      <c r="O61" s="227">
        <v>20</v>
      </c>
      <c r="P61" s="227">
        <v>16</v>
      </c>
      <c r="Q61" s="227">
        <v>15</v>
      </c>
      <c r="R61" s="227">
        <v>26</v>
      </c>
      <c r="S61" s="227">
        <v>26</v>
      </c>
      <c r="T61" s="227">
        <v>22</v>
      </c>
      <c r="U61" s="227">
        <v>18</v>
      </c>
      <c r="V61" s="227">
        <v>16</v>
      </c>
    </row>
    <row r="62" spans="8:27" x14ac:dyDescent="0.3">
      <c r="J62" t="s">
        <v>79</v>
      </c>
      <c r="Y62" s="612" t="s">
        <v>68</v>
      </c>
      <c r="Z62" s="391" t="s">
        <v>80</v>
      </c>
      <c r="AA62" s="391" t="s">
        <v>81</v>
      </c>
    </row>
    <row r="63" spans="8:27" x14ac:dyDescent="0.3">
      <c r="J63" t="s">
        <v>75</v>
      </c>
      <c r="Y63" s="608" t="s">
        <v>5</v>
      </c>
      <c r="Z63" s="391">
        <v>77</v>
      </c>
      <c r="AA63" s="391">
        <f>Z63-L61</f>
        <v>62</v>
      </c>
    </row>
    <row r="64" spans="8:27" x14ac:dyDescent="0.3">
      <c r="I64" s="368" t="s">
        <v>101</v>
      </c>
      <c r="J64">
        <v>0</v>
      </c>
      <c r="L64" t="s">
        <v>83</v>
      </c>
      <c r="M64">
        <f>SUM(L61:O61)</f>
        <v>77</v>
      </c>
      <c r="O64" t="s">
        <v>84</v>
      </c>
      <c r="P64">
        <f>M61*G5+2*N61*G5+3*G5*O61+4*P61*G5</f>
        <v>2612.8575000000001</v>
      </c>
      <c r="Y64" s="608" t="s">
        <v>7</v>
      </c>
      <c r="Z64" s="391"/>
      <c r="AA64" s="391">
        <f>AA63-M61</f>
        <v>41</v>
      </c>
    </row>
    <row r="65" spans="7:27" x14ac:dyDescent="0.3">
      <c r="I65" s="368" t="s">
        <v>102</v>
      </c>
      <c r="J65">
        <f>M61*G5</f>
        <v>293.42250000000001</v>
      </c>
      <c r="Y65" s="608" t="s">
        <v>9</v>
      </c>
      <c r="Z65" s="391"/>
      <c r="AA65" s="391">
        <f>AA64-N61</f>
        <v>20</v>
      </c>
    </row>
    <row r="66" spans="7:27" x14ac:dyDescent="0.3">
      <c r="I66" s="368" t="s">
        <v>103</v>
      </c>
      <c r="J66">
        <f>M61*G5+2*N61*G5</f>
        <v>880.26750000000004</v>
      </c>
      <c r="Y66" s="608" t="s">
        <v>11</v>
      </c>
      <c r="Z66" s="391"/>
      <c r="AA66" s="391">
        <f>AA65-O61</f>
        <v>0</v>
      </c>
    </row>
    <row r="67" spans="7:27" x14ac:dyDescent="0.3">
      <c r="I67" s="368" t="s">
        <v>104</v>
      </c>
      <c r="J67">
        <f>M61*G5+2*N61*G5+3*G5*O61</f>
        <v>1718.6175000000003</v>
      </c>
      <c r="K67">
        <f>G1-J67</f>
        <v>581.38249999999971</v>
      </c>
      <c r="Y67" s="608" t="s">
        <v>13</v>
      </c>
      <c r="Z67" s="391">
        <v>83</v>
      </c>
      <c r="AA67" s="391">
        <f>Z67-P61</f>
        <v>67</v>
      </c>
    </row>
    <row r="68" spans="7:27" x14ac:dyDescent="0.3">
      <c r="G68" t="s">
        <v>105</v>
      </c>
      <c r="I68" s="364" t="s">
        <v>106</v>
      </c>
      <c r="J68">
        <f>M61*G5+2*N61*G5+3*G5*O61+4*P61*G5</f>
        <v>2612.8575000000001</v>
      </c>
      <c r="K68">
        <f>ABS(G1-J68)</f>
        <v>312.85750000000007</v>
      </c>
      <c r="Y68" s="608" t="s">
        <v>15</v>
      </c>
      <c r="Z68" s="391"/>
      <c r="AA68" s="391">
        <f>AA67-Q61</f>
        <v>52</v>
      </c>
    </row>
    <row r="69" spans="7:27" x14ac:dyDescent="0.3">
      <c r="Y69" s="608" t="s">
        <v>17</v>
      </c>
      <c r="Z69" s="391"/>
      <c r="AA69" s="391">
        <f>AA68-R61</f>
        <v>26</v>
      </c>
    </row>
    <row r="70" spans="7:27" x14ac:dyDescent="0.3">
      <c r="J70" t="s">
        <v>92</v>
      </c>
      <c r="Y70" s="608" t="s">
        <v>19</v>
      </c>
      <c r="Z70" s="391"/>
      <c r="AA70" s="391">
        <f>AA69-S61</f>
        <v>0</v>
      </c>
    </row>
    <row r="71" spans="7:27" x14ac:dyDescent="0.3">
      <c r="J71" t="s">
        <v>75</v>
      </c>
      <c r="Y71" s="608" t="s">
        <v>21</v>
      </c>
      <c r="Z71" s="391">
        <v>56</v>
      </c>
      <c r="AA71" s="391">
        <f>Z71-T61</f>
        <v>34</v>
      </c>
    </row>
    <row r="72" spans="7:27" x14ac:dyDescent="0.3">
      <c r="I72" s="368" t="s">
        <v>101</v>
      </c>
      <c r="J72">
        <v>0</v>
      </c>
      <c r="L72" s="4" t="s">
        <v>93</v>
      </c>
      <c r="M72">
        <f>SUM(P61:S61)</f>
        <v>83</v>
      </c>
      <c r="O72" t="s">
        <v>84</v>
      </c>
      <c r="P72">
        <f>R61*G5+2*G5*S61+3*T61*G5</f>
        <v>2012.04</v>
      </c>
      <c r="Y72" s="608" t="s">
        <v>23</v>
      </c>
      <c r="Z72" s="391"/>
      <c r="AA72" s="391">
        <f>AA71-U61</f>
        <v>16</v>
      </c>
    </row>
    <row r="73" spans="7:27" x14ac:dyDescent="0.3">
      <c r="I73" s="368" t="s">
        <v>102</v>
      </c>
      <c r="J73">
        <f>R61*G5</f>
        <v>363.28500000000003</v>
      </c>
      <c r="Y73" s="608" t="s">
        <v>28</v>
      </c>
      <c r="Z73" s="391"/>
      <c r="AA73" s="391">
        <f>AA72-V61</f>
        <v>0</v>
      </c>
    </row>
    <row r="74" spans="7:27" x14ac:dyDescent="0.3">
      <c r="I74" s="368" t="s">
        <v>103</v>
      </c>
      <c r="J74">
        <f>R61*G5+2*S61*G5</f>
        <v>1089.855</v>
      </c>
    </row>
    <row r="75" spans="7:27" x14ac:dyDescent="0.3">
      <c r="G75" t="s">
        <v>105</v>
      </c>
      <c r="I75" s="364" t="s">
        <v>104</v>
      </c>
      <c r="J75">
        <f>R61*G5+2*S61*G5+3*T61*G5</f>
        <v>2012.04</v>
      </c>
      <c r="K75">
        <f>ABS(J75-G1)</f>
        <v>287.96000000000004</v>
      </c>
    </row>
    <row r="76" spans="7:27" x14ac:dyDescent="0.3">
      <c r="I76" s="368" t="s">
        <v>106</v>
      </c>
      <c r="J76">
        <f>R61*G5+2*S61*G5+3*T61*G5+4*U61*G5</f>
        <v>3018.06</v>
      </c>
      <c r="K76">
        <f>ABS(J76-G1)</f>
        <v>718.06</v>
      </c>
    </row>
    <row r="78" spans="7:27" x14ac:dyDescent="0.3">
      <c r="J78" t="s">
        <v>107</v>
      </c>
    </row>
    <row r="79" spans="7:27" x14ac:dyDescent="0.3">
      <c r="J79" t="s">
        <v>75</v>
      </c>
    </row>
    <row r="80" spans="7:27" x14ac:dyDescent="0.3">
      <c r="I80" s="368" t="s">
        <v>101</v>
      </c>
      <c r="J80">
        <v>0</v>
      </c>
      <c r="L80" s="4" t="s">
        <v>95</v>
      </c>
      <c r="M80">
        <f>SUM(T61:V61)</f>
        <v>56</v>
      </c>
      <c r="O80" t="s">
        <v>84</v>
      </c>
      <c r="P80">
        <f>V61*G5</f>
        <v>223.56</v>
      </c>
    </row>
    <row r="81" spans="7:11" x14ac:dyDescent="0.3">
      <c r="G81" t="s">
        <v>105</v>
      </c>
      <c r="I81" s="364" t="s">
        <v>102</v>
      </c>
      <c r="J81">
        <f>V61*G5</f>
        <v>223.56</v>
      </c>
    </row>
    <row r="84" spans="7:11" x14ac:dyDescent="0.3">
      <c r="J84" s="128" t="s">
        <v>74</v>
      </c>
      <c r="K84">
        <f>G1*3</f>
        <v>6900</v>
      </c>
    </row>
    <row r="85" spans="7:11" x14ac:dyDescent="0.3">
      <c r="J85" s="128" t="s">
        <v>75</v>
      </c>
      <c r="K85">
        <f>SUM(P64+P72+P80)</f>
        <v>4848.4575000000004</v>
      </c>
    </row>
    <row r="86" spans="7:11" x14ac:dyDescent="0.3">
      <c r="J86" s="128" t="s">
        <v>76</v>
      </c>
      <c r="K86">
        <f>SUM(K84:K85)</f>
        <v>11748.4575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B6F8-F78F-4BD6-BFAE-A1CBE3DD18AB}">
  <dimension ref="A1:AA83"/>
  <sheetViews>
    <sheetView zoomScale="96" zoomScaleNormal="70" workbookViewId="0">
      <selection activeCell="A8" sqref="A8"/>
    </sheetView>
  </sheetViews>
  <sheetFormatPr defaultColWidth="8.77734375" defaultRowHeight="14.4" x14ac:dyDescent="0.3"/>
  <cols>
    <col min="5" max="5" width="10.44140625" bestFit="1" customWidth="1"/>
    <col min="10" max="10" width="20.77734375" bestFit="1" customWidth="1"/>
    <col min="22" max="22" width="10.33203125" bestFit="1" customWidth="1"/>
    <col min="25" max="25" width="11" bestFit="1" customWidth="1"/>
  </cols>
  <sheetData>
    <row r="1" spans="1:27" x14ac:dyDescent="0.3">
      <c r="A1" t="s">
        <v>108</v>
      </c>
      <c r="B1" s="232" t="s">
        <v>109</v>
      </c>
      <c r="C1" s="179" t="s">
        <v>1</v>
      </c>
      <c r="D1" s="138" t="s">
        <v>2</v>
      </c>
      <c r="F1" t="s">
        <v>42</v>
      </c>
      <c r="G1">
        <v>2300</v>
      </c>
      <c r="I1" s="238" t="s">
        <v>40</v>
      </c>
      <c r="J1" s="237" t="s">
        <v>26</v>
      </c>
      <c r="K1" s="234" t="s">
        <v>27</v>
      </c>
      <c r="L1" s="236" t="s">
        <v>5</v>
      </c>
      <c r="M1" s="236" t="s">
        <v>7</v>
      </c>
      <c r="N1" s="236" t="s">
        <v>9</v>
      </c>
      <c r="O1" s="236" t="s">
        <v>11</v>
      </c>
      <c r="P1" s="236" t="s">
        <v>13</v>
      </c>
      <c r="Q1" s="236" t="s">
        <v>15</v>
      </c>
      <c r="R1" s="236" t="s">
        <v>17</v>
      </c>
      <c r="S1" s="236" t="s">
        <v>19</v>
      </c>
      <c r="T1" s="236" t="s">
        <v>21</v>
      </c>
      <c r="U1" s="236" t="s">
        <v>23</v>
      </c>
      <c r="V1" s="236" t="s">
        <v>28</v>
      </c>
    </row>
    <row r="2" spans="1:27" x14ac:dyDescent="0.3">
      <c r="A2">
        <v>243</v>
      </c>
      <c r="B2" s="609" t="s">
        <v>5</v>
      </c>
      <c r="C2" s="232">
        <v>11</v>
      </c>
      <c r="D2" s="233">
        <v>13.43</v>
      </c>
      <c r="F2" t="s">
        <v>3</v>
      </c>
      <c r="G2">
        <v>0.46</v>
      </c>
      <c r="J2" s="239" t="s">
        <v>32</v>
      </c>
      <c r="L2">
        <v>14</v>
      </c>
      <c r="M2">
        <v>12</v>
      </c>
      <c r="N2">
        <v>10</v>
      </c>
      <c r="O2">
        <v>10</v>
      </c>
      <c r="P2">
        <v>8</v>
      </c>
      <c r="Q2">
        <v>7</v>
      </c>
      <c r="R2">
        <v>7</v>
      </c>
      <c r="S2">
        <v>8</v>
      </c>
      <c r="T2">
        <v>9</v>
      </c>
      <c r="U2">
        <v>10</v>
      </c>
      <c r="V2">
        <v>8</v>
      </c>
    </row>
    <row r="3" spans="1:27" x14ac:dyDescent="0.3">
      <c r="A3" s="1" t="s">
        <v>352</v>
      </c>
      <c r="B3" s="609" t="s">
        <v>7</v>
      </c>
      <c r="C3" s="232">
        <v>8</v>
      </c>
      <c r="D3" s="232">
        <v>11.8</v>
      </c>
      <c r="F3" t="s">
        <v>70</v>
      </c>
      <c r="G3">
        <f>A2/8</f>
        <v>30.375</v>
      </c>
      <c r="J3" s="235" t="s">
        <v>71</v>
      </c>
      <c r="K3">
        <v>14</v>
      </c>
      <c r="L3">
        <v>12</v>
      </c>
      <c r="M3">
        <v>10</v>
      </c>
      <c r="N3">
        <v>10</v>
      </c>
      <c r="O3">
        <v>8</v>
      </c>
      <c r="P3">
        <v>7</v>
      </c>
      <c r="Q3">
        <v>7</v>
      </c>
      <c r="R3">
        <v>8</v>
      </c>
      <c r="S3">
        <v>9</v>
      </c>
      <c r="T3">
        <v>10</v>
      </c>
      <c r="U3">
        <v>8</v>
      </c>
    </row>
    <row r="4" spans="1:27" x14ac:dyDescent="0.3">
      <c r="B4" s="609" t="s">
        <v>9</v>
      </c>
      <c r="C4" s="232">
        <v>4</v>
      </c>
      <c r="D4" s="232">
        <v>9.4600000000000009</v>
      </c>
      <c r="F4" t="s">
        <v>72</v>
      </c>
      <c r="G4">
        <f>AVERAGE(D2:D12)</f>
        <v>8.8781818181818171</v>
      </c>
      <c r="J4" s="235" t="s">
        <v>40</v>
      </c>
      <c r="K4">
        <v>55</v>
      </c>
      <c r="L4">
        <v>0</v>
      </c>
      <c r="M4">
        <v>0</v>
      </c>
      <c r="N4">
        <v>0</v>
      </c>
      <c r="O4">
        <v>0</v>
      </c>
      <c r="P4">
        <v>55</v>
      </c>
      <c r="Q4">
        <v>0</v>
      </c>
      <c r="R4">
        <v>0</v>
      </c>
      <c r="S4">
        <v>0</v>
      </c>
      <c r="T4">
        <v>0</v>
      </c>
      <c r="U4">
        <v>0</v>
      </c>
      <c r="W4" cm="1">
        <f t="array" ref="W4">SUM(K4:U4/55)</f>
        <v>2</v>
      </c>
    </row>
    <row r="5" spans="1:27" x14ac:dyDescent="0.3">
      <c r="B5" s="609" t="s">
        <v>11</v>
      </c>
      <c r="C5" s="232">
        <v>8</v>
      </c>
      <c r="D5" s="232">
        <v>9.02</v>
      </c>
      <c r="F5" t="s">
        <v>73</v>
      </c>
      <c r="G5">
        <f>G2*G3</f>
        <v>13.9725</v>
      </c>
      <c r="J5" s="235" t="s">
        <v>43</v>
      </c>
      <c r="L5">
        <v>55</v>
      </c>
      <c r="M5">
        <v>0</v>
      </c>
      <c r="N5">
        <v>0</v>
      </c>
      <c r="O5">
        <v>0</v>
      </c>
      <c r="P5">
        <v>0</v>
      </c>
      <c r="Q5">
        <v>55</v>
      </c>
      <c r="R5">
        <v>0</v>
      </c>
      <c r="S5">
        <v>0</v>
      </c>
      <c r="T5">
        <v>0</v>
      </c>
      <c r="U5">
        <v>0</v>
      </c>
      <c r="V5">
        <v>0</v>
      </c>
    </row>
    <row r="6" spans="1:27" x14ac:dyDescent="0.3">
      <c r="B6" s="609" t="s">
        <v>13</v>
      </c>
      <c r="C6" s="232">
        <v>4</v>
      </c>
      <c r="D6" s="232">
        <v>7.52</v>
      </c>
      <c r="F6" t="s">
        <v>38</v>
      </c>
      <c r="G6">
        <f>SQRT(2*G1*G4/G5)</f>
        <v>54.063464666511159</v>
      </c>
      <c r="J6" s="235" t="s">
        <v>45</v>
      </c>
      <c r="L6">
        <f>K4-L2</f>
        <v>41</v>
      </c>
      <c r="M6">
        <f>L4+L6-M2</f>
        <v>29</v>
      </c>
      <c r="N6">
        <f t="shared" ref="N6:V6" si="0">M4+M6-N2</f>
        <v>19</v>
      </c>
      <c r="O6">
        <f t="shared" si="0"/>
        <v>9</v>
      </c>
      <c r="P6">
        <f t="shared" si="0"/>
        <v>1</v>
      </c>
      <c r="Q6">
        <f t="shared" si="0"/>
        <v>49</v>
      </c>
      <c r="R6">
        <f t="shared" si="0"/>
        <v>42</v>
      </c>
      <c r="S6">
        <f t="shared" si="0"/>
        <v>34</v>
      </c>
      <c r="T6">
        <f t="shared" si="0"/>
        <v>25</v>
      </c>
      <c r="U6">
        <f t="shared" si="0"/>
        <v>15</v>
      </c>
      <c r="V6">
        <f t="shared" si="0"/>
        <v>7</v>
      </c>
    </row>
    <row r="7" spans="1:27" x14ac:dyDescent="0.3">
      <c r="B7" s="609" t="s">
        <v>15</v>
      </c>
      <c r="C7" s="232">
        <v>4</v>
      </c>
      <c r="D7" s="232">
        <v>6.46</v>
      </c>
      <c r="G7">
        <v>55</v>
      </c>
    </row>
    <row r="8" spans="1:27" x14ac:dyDescent="0.3">
      <c r="B8" s="609" t="s">
        <v>17</v>
      </c>
      <c r="C8" s="232">
        <v>8</v>
      </c>
      <c r="D8" s="232">
        <v>6.92</v>
      </c>
      <c r="J8" s="235" t="s">
        <v>74</v>
      </c>
      <c r="K8">
        <f>2*G1</f>
        <v>4600</v>
      </c>
    </row>
    <row r="9" spans="1:27" x14ac:dyDescent="0.3">
      <c r="B9" s="609" t="s">
        <v>19</v>
      </c>
      <c r="C9" s="232">
        <v>8</v>
      </c>
      <c r="D9" s="232">
        <v>7.25</v>
      </c>
      <c r="J9" s="235" t="s">
        <v>75</v>
      </c>
      <c r="K9" cm="1">
        <f t="array" ref="K9">SUM(L6:V6*G5)</f>
        <v>3786.5475000000006</v>
      </c>
    </row>
    <row r="10" spans="1:27" x14ac:dyDescent="0.3">
      <c r="B10" s="609" t="s">
        <v>21</v>
      </c>
      <c r="C10" s="232">
        <v>12</v>
      </c>
      <c r="D10" s="232">
        <v>8.67</v>
      </c>
      <c r="J10" s="235" t="s">
        <v>76</v>
      </c>
      <c r="K10">
        <f>SUM(K8:K9)</f>
        <v>8386.5475000000006</v>
      </c>
    </row>
    <row r="11" spans="1:27" x14ac:dyDescent="0.3">
      <c r="B11" s="609" t="s">
        <v>23</v>
      </c>
      <c r="C11" s="232">
        <v>11</v>
      </c>
      <c r="D11" s="232">
        <v>9.3699999999999992</v>
      </c>
    </row>
    <row r="12" spans="1:27" x14ac:dyDescent="0.3">
      <c r="B12" s="609" t="s">
        <v>28</v>
      </c>
      <c r="C12" s="232">
        <v>4</v>
      </c>
      <c r="D12" s="232">
        <v>7.76</v>
      </c>
    </row>
    <row r="13" spans="1:27" x14ac:dyDescent="0.3">
      <c r="J13" s="358" t="s">
        <v>77</v>
      </c>
      <c r="K13" s="237" t="s">
        <v>78</v>
      </c>
      <c r="L13">
        <v>14</v>
      </c>
      <c r="M13">
        <v>12</v>
      </c>
      <c r="N13">
        <v>10</v>
      </c>
      <c r="O13">
        <v>10</v>
      </c>
      <c r="P13">
        <v>8</v>
      </c>
      <c r="Q13">
        <v>7</v>
      </c>
      <c r="R13">
        <v>7</v>
      </c>
      <c r="S13">
        <v>8</v>
      </c>
      <c r="T13">
        <v>9</v>
      </c>
      <c r="U13">
        <v>10</v>
      </c>
      <c r="V13">
        <v>8</v>
      </c>
    </row>
    <row r="14" spans="1:27" x14ac:dyDescent="0.3">
      <c r="J14" t="s">
        <v>79</v>
      </c>
      <c r="Y14" s="613" t="s">
        <v>68</v>
      </c>
      <c r="Z14" s="35" t="s">
        <v>80</v>
      </c>
      <c r="AA14" s="35" t="s">
        <v>81</v>
      </c>
    </row>
    <row r="15" spans="1:27" x14ac:dyDescent="0.3">
      <c r="J15" s="355" t="s">
        <v>82</v>
      </c>
      <c r="K15" s="115">
        <f>G1</f>
        <v>2300</v>
      </c>
      <c r="L15" s="4" t="s">
        <v>83</v>
      </c>
      <c r="M15" s="4">
        <f>SUM(L13:R13)</f>
        <v>68</v>
      </c>
      <c r="N15" s="4"/>
      <c r="O15" s="4" t="s">
        <v>84</v>
      </c>
      <c r="P15" s="4">
        <f>M13*G5+2*N13*G5+3*O13*G5+4*P13*G5+5*Q13+6*R13</f>
        <v>1390.415</v>
      </c>
      <c r="Q15" s="4"/>
      <c r="R15" s="4"/>
      <c r="S15" s="4"/>
      <c r="T15" s="4"/>
      <c r="U15" s="4"/>
      <c r="V15" s="4"/>
      <c r="Y15" s="609" t="s">
        <v>5</v>
      </c>
      <c r="Z15" s="35">
        <v>68</v>
      </c>
      <c r="AA15" s="35">
        <f>Z15-L13</f>
        <v>54</v>
      </c>
    </row>
    <row r="16" spans="1:27" x14ac:dyDescent="0.3">
      <c r="J16" s="355" t="s">
        <v>85</v>
      </c>
      <c r="K16" s="115">
        <f>(G1+G5*M13)/2</f>
        <v>1233.835</v>
      </c>
      <c r="Y16" s="609" t="s">
        <v>7</v>
      </c>
      <c r="Z16" s="35"/>
      <c r="AA16" s="35">
        <f>AA15-M13</f>
        <v>42</v>
      </c>
    </row>
    <row r="17" spans="8:27" x14ac:dyDescent="0.3">
      <c r="J17" s="355" t="s">
        <v>86</v>
      </c>
      <c r="K17" s="115">
        <f>(G1+M13*G5+N13*G5*2)/3</f>
        <v>915.70666666666659</v>
      </c>
      <c r="Y17" s="609" t="s">
        <v>9</v>
      </c>
      <c r="Z17" s="35"/>
      <c r="AA17" s="35">
        <f>AA16-N13</f>
        <v>32</v>
      </c>
    </row>
    <row r="18" spans="8:27" x14ac:dyDescent="0.3">
      <c r="J18" s="355" t="s">
        <v>87</v>
      </c>
      <c r="K18" s="115">
        <f>(G1+M13*G5+2*N13*G5+3*O13*G5)/4</f>
        <v>791.57375000000002</v>
      </c>
      <c r="Q18" s="4"/>
      <c r="Y18" s="609" t="s">
        <v>11</v>
      </c>
      <c r="Z18" s="35"/>
      <c r="AA18" s="35">
        <f>AA17-O13</f>
        <v>22</v>
      </c>
    </row>
    <row r="19" spans="8:27" x14ac:dyDescent="0.3">
      <c r="H19" t="s">
        <v>110</v>
      </c>
      <c r="I19" t="s">
        <v>89</v>
      </c>
      <c r="J19" s="355" t="s">
        <v>90</v>
      </c>
      <c r="K19" s="115">
        <f>(G1+M13*G5+2*N13*G5+3*O13*G5+4*P13*G5)/5</f>
        <v>722.68299999999999</v>
      </c>
      <c r="Q19" s="4"/>
      <c r="Y19" s="609" t="s">
        <v>13</v>
      </c>
      <c r="Z19" s="35"/>
      <c r="AA19" s="35">
        <f>AA18-P13</f>
        <v>14</v>
      </c>
    </row>
    <row r="20" spans="8:27" x14ac:dyDescent="0.3">
      <c r="J20" s="355" t="s">
        <v>91</v>
      </c>
      <c r="K20" s="115">
        <f>(G1+M13*G5+2*N13*G5+3*O13*G5+4*P13*G5+5*Q13*G5)/6</f>
        <v>683.74208333333343</v>
      </c>
      <c r="Q20" s="4"/>
      <c r="Y20" s="609" t="s">
        <v>15</v>
      </c>
      <c r="Z20" s="35"/>
      <c r="AA20" s="35">
        <f>AA19-Q13</f>
        <v>7</v>
      </c>
    </row>
    <row r="21" spans="8:27" x14ac:dyDescent="0.3">
      <c r="J21" s="355" t="s">
        <v>111</v>
      </c>
      <c r="K21" s="115">
        <f>(G1+M13*G5+2*N13*G5+3*O13*G5+4*P13*G5+5*Q13*G5+6*R13*G5)/7</f>
        <v>669.89964285714291</v>
      </c>
      <c r="Q21" s="4"/>
      <c r="Y21" s="609" t="s">
        <v>17</v>
      </c>
      <c r="Z21" s="35"/>
      <c r="AA21" s="35">
        <f>AA20-R13</f>
        <v>0</v>
      </c>
    </row>
    <row r="22" spans="8:27" x14ac:dyDescent="0.3">
      <c r="J22" s="355" t="s">
        <v>112</v>
      </c>
      <c r="K22" s="115">
        <f>(G1+M13*G5+2*N13*G5+3*O13*G5+4*P13*G5+5*Q13*G5+6*R13*G5+7*S13*G5)/8</f>
        <v>683.96968750000008</v>
      </c>
      <c r="Q22" s="4"/>
      <c r="Y22" s="609" t="s">
        <v>19</v>
      </c>
      <c r="Z22" s="35">
        <v>35</v>
      </c>
      <c r="AA22" s="35">
        <f>Z22-S13</f>
        <v>27</v>
      </c>
    </row>
    <row r="23" spans="8:27" x14ac:dyDescent="0.3">
      <c r="Q23" s="4"/>
      <c r="Y23" s="609" t="s">
        <v>21</v>
      </c>
      <c r="Z23" s="35"/>
      <c r="AA23" s="35">
        <f>AA22-T13</f>
        <v>18</v>
      </c>
    </row>
    <row r="24" spans="8:27" x14ac:dyDescent="0.3">
      <c r="Q24" s="4"/>
      <c r="Y24" s="609" t="s">
        <v>23</v>
      </c>
      <c r="Z24" s="35"/>
      <c r="AA24" s="35">
        <f>AA23-U13</f>
        <v>8</v>
      </c>
    </row>
    <row r="25" spans="8:27" x14ac:dyDescent="0.3">
      <c r="J25" t="s">
        <v>113</v>
      </c>
      <c r="Q25" s="4"/>
      <c r="Y25" s="609" t="s">
        <v>28</v>
      </c>
      <c r="Z25" s="35"/>
      <c r="AA25" s="35">
        <f>AA24-V13</f>
        <v>0</v>
      </c>
    </row>
    <row r="26" spans="8:27" x14ac:dyDescent="0.3">
      <c r="J26" s="238" t="s">
        <v>82</v>
      </c>
      <c r="K26" s="115">
        <f>G1</f>
        <v>2300</v>
      </c>
      <c r="L26" s="4" t="s">
        <v>93</v>
      </c>
      <c r="M26">
        <f>SUM(S13:V13)</f>
        <v>35</v>
      </c>
      <c r="O26" t="s">
        <v>84</v>
      </c>
      <c r="P26">
        <f>G5*T13+2*U13*G5+3*V13*G5</f>
        <v>740.54250000000002</v>
      </c>
      <c r="Q26" s="4"/>
    </row>
    <row r="27" spans="8:27" x14ac:dyDescent="0.3">
      <c r="J27" s="238" t="s">
        <v>85</v>
      </c>
      <c r="K27" s="115">
        <f>(G1+T13*G5)/2</f>
        <v>1212.87625</v>
      </c>
      <c r="Q27" s="4"/>
    </row>
    <row r="28" spans="8:27" x14ac:dyDescent="0.3">
      <c r="J28" s="356" t="s">
        <v>86</v>
      </c>
      <c r="K28" s="349">
        <f>(G1+T13*G5+2*U13*G5)/3</f>
        <v>901.73416666666662</v>
      </c>
      <c r="Q28" s="4"/>
    </row>
    <row r="29" spans="8:27" x14ac:dyDescent="0.3">
      <c r="J29" s="355" t="s">
        <v>87</v>
      </c>
      <c r="K29" s="115">
        <f>(G1+T13*G5+2*U13*G5+3*V13*G5)/4</f>
        <v>760.135625</v>
      </c>
    </row>
    <row r="31" spans="8:27" x14ac:dyDescent="0.3">
      <c r="J31" s="235" t="s">
        <v>74</v>
      </c>
      <c r="K31">
        <f>3*G1</f>
        <v>6900</v>
      </c>
    </row>
    <row r="32" spans="8:27" x14ac:dyDescent="0.3">
      <c r="J32" s="235" t="s">
        <v>75</v>
      </c>
      <c r="K32">
        <f>SUM(P15,P26)</f>
        <v>2130.9575</v>
      </c>
    </row>
    <row r="33" spans="8:27" x14ac:dyDescent="0.3">
      <c r="J33" s="235" t="s">
        <v>76</v>
      </c>
      <c r="K33">
        <f>SUM(K31:K32)</f>
        <v>9030.9575000000004</v>
      </c>
    </row>
    <row r="34" spans="8:27" x14ac:dyDescent="0.3">
      <c r="L34" s="4"/>
    </row>
    <row r="37" spans="8:27" x14ac:dyDescent="0.3">
      <c r="J37" s="358" t="s">
        <v>96</v>
      </c>
      <c r="K37" s="355" t="s">
        <v>78</v>
      </c>
      <c r="L37">
        <v>14</v>
      </c>
      <c r="M37">
        <v>12</v>
      </c>
      <c r="N37">
        <v>10</v>
      </c>
      <c r="O37">
        <v>10</v>
      </c>
      <c r="P37">
        <v>8</v>
      </c>
      <c r="Q37">
        <v>7</v>
      </c>
      <c r="R37">
        <v>7</v>
      </c>
      <c r="S37">
        <v>8</v>
      </c>
      <c r="T37">
        <v>9</v>
      </c>
      <c r="U37">
        <v>10</v>
      </c>
      <c r="V37">
        <v>8</v>
      </c>
    </row>
    <row r="38" spans="8:27" x14ac:dyDescent="0.3">
      <c r="J38" t="s">
        <v>79</v>
      </c>
      <c r="Y38" s="613" t="s">
        <v>68</v>
      </c>
      <c r="Z38" s="35" t="s">
        <v>80</v>
      </c>
      <c r="AA38" s="35" t="s">
        <v>81</v>
      </c>
    </row>
    <row r="39" spans="8:27" x14ac:dyDescent="0.3">
      <c r="J39" s="355" t="s">
        <v>82</v>
      </c>
      <c r="K39">
        <f>G1/L37</f>
        <v>164.28571428571428</v>
      </c>
      <c r="L39" t="s">
        <v>83</v>
      </c>
      <c r="M39">
        <f>SUM(L37:P37)</f>
        <v>54</v>
      </c>
      <c r="O39" t="s">
        <v>84</v>
      </c>
      <c r="P39">
        <f>M37*G5+2*G5*N37+3*O37*G5+4*G5*P37</f>
        <v>1313.415</v>
      </c>
      <c r="Y39" s="609" t="s">
        <v>5</v>
      </c>
      <c r="Z39" s="35">
        <v>54</v>
      </c>
      <c r="AA39" s="35">
        <f>Z39-L37</f>
        <v>40</v>
      </c>
    </row>
    <row r="40" spans="8:27" x14ac:dyDescent="0.3">
      <c r="J40" s="355" t="s">
        <v>85</v>
      </c>
      <c r="K40">
        <f>(G1+G5*M37)/(L37+M37)</f>
        <v>94.910384615384615</v>
      </c>
      <c r="Y40" s="609" t="s">
        <v>7</v>
      </c>
      <c r="Z40" s="35"/>
      <c r="AA40" s="35">
        <f>AA39-M37</f>
        <v>28</v>
      </c>
    </row>
    <row r="41" spans="8:27" x14ac:dyDescent="0.3">
      <c r="J41" s="355" t="s">
        <v>86</v>
      </c>
      <c r="K41">
        <f>(G1+M37*G5+2*N37*G5)/(L37+M37+N37)</f>
        <v>76.308888888888887</v>
      </c>
      <c r="Y41" s="609" t="s">
        <v>9</v>
      </c>
      <c r="Z41" s="35"/>
      <c r="AA41" s="35">
        <f>AA40-N37</f>
        <v>18</v>
      </c>
    </row>
    <row r="42" spans="8:27" x14ac:dyDescent="0.3">
      <c r="J42" s="357" t="s">
        <v>87</v>
      </c>
      <c r="K42">
        <f>(G1+M37*G5+2*N37*G5+3*O37*G5)/(L37+M37+N37+O37)</f>
        <v>68.832499999999996</v>
      </c>
      <c r="Y42" s="609" t="s">
        <v>11</v>
      </c>
      <c r="Z42" s="35"/>
      <c r="AA42" s="35">
        <f>AA41-O37</f>
        <v>8</v>
      </c>
    </row>
    <row r="43" spans="8:27" x14ac:dyDescent="0.3">
      <c r="H43" t="s">
        <v>88</v>
      </c>
      <c r="I43" t="s">
        <v>89</v>
      </c>
      <c r="J43" s="355" t="s">
        <v>90</v>
      </c>
      <c r="K43">
        <f>(G1+M37*G5+2*N37*G5+3*O37*G5+4*P37*G5)/(L37+M37+N37+O37+P37)</f>
        <v>66.915092592592586</v>
      </c>
      <c r="Y43" s="609" t="s">
        <v>13</v>
      </c>
      <c r="Z43" s="35"/>
      <c r="AA43" s="35">
        <f>AA42-P37</f>
        <v>0</v>
      </c>
    </row>
    <row r="44" spans="8:27" x14ac:dyDescent="0.3">
      <c r="J44" s="355" t="s">
        <v>91</v>
      </c>
      <c r="K44">
        <f>(G1+M37*G5+2*N37*G5+3*O37*G5+4*P37*G5+5*Q37*G5)/(L37+M37+N37+O37+P37+Q37)</f>
        <v>67.253319672131155</v>
      </c>
      <c r="Y44" s="609" t="s">
        <v>15</v>
      </c>
      <c r="Z44" s="35">
        <v>49</v>
      </c>
      <c r="AA44" s="35">
        <f>Z44-Q37</f>
        <v>42</v>
      </c>
    </row>
    <row r="45" spans="8:27" x14ac:dyDescent="0.3">
      <c r="Y45" s="609" t="s">
        <v>17</v>
      </c>
      <c r="Z45" s="35"/>
      <c r="AA45" s="35">
        <f>AA44-R37</f>
        <v>35</v>
      </c>
    </row>
    <row r="46" spans="8:27" x14ac:dyDescent="0.3">
      <c r="J46" t="s">
        <v>92</v>
      </c>
      <c r="Y46" s="609" t="s">
        <v>19</v>
      </c>
      <c r="Z46" s="35"/>
      <c r="AA46" s="35">
        <f>AA45-S37</f>
        <v>27</v>
      </c>
    </row>
    <row r="47" spans="8:27" x14ac:dyDescent="0.3">
      <c r="J47" s="355" t="s">
        <v>82</v>
      </c>
      <c r="K47">
        <f>G1/Q37</f>
        <v>328.57142857142856</v>
      </c>
      <c r="L47" s="4" t="s">
        <v>93</v>
      </c>
      <c r="M47">
        <f>SUM(Q37:V37)</f>
        <v>49</v>
      </c>
      <c r="O47" t="s">
        <v>84</v>
      </c>
      <c r="P47">
        <f>R37*G5+2*G5*S37+3*G5*T37+4*U37*G5+5*V37*G5</f>
        <v>1816.4250000000002</v>
      </c>
      <c r="Y47" s="609" t="s">
        <v>21</v>
      </c>
      <c r="Z47" s="35"/>
      <c r="AA47" s="35">
        <f>AA46-T37</f>
        <v>18</v>
      </c>
    </row>
    <row r="48" spans="8:27" x14ac:dyDescent="0.3">
      <c r="J48" s="355" t="s">
        <v>85</v>
      </c>
      <c r="K48">
        <f>(G1+G5*R37)/(R37+Q37)</f>
        <v>171.27196428571429</v>
      </c>
      <c r="Y48" s="609" t="s">
        <v>23</v>
      </c>
      <c r="Z48" s="35"/>
      <c r="AA48" s="35">
        <f>AA47-U37</f>
        <v>8</v>
      </c>
    </row>
    <row r="49" spans="9:27" x14ac:dyDescent="0.3">
      <c r="J49" s="355" t="s">
        <v>86</v>
      </c>
      <c r="K49">
        <f>(G1+G5*R37+2*S37*G5)/(S37+Q37+R37)</f>
        <v>119.15306818181817</v>
      </c>
      <c r="Y49" s="609" t="s">
        <v>28</v>
      </c>
      <c r="Z49" s="35"/>
      <c r="AA49" s="35">
        <f>AA48-V37</f>
        <v>0</v>
      </c>
    </row>
    <row r="50" spans="9:27" x14ac:dyDescent="0.3">
      <c r="J50" s="357" t="s">
        <v>87</v>
      </c>
      <c r="K50">
        <f>(G1+G5*R37+2*S37*G5+3*G5*T37)/(S37+Q37+R37+T37)</f>
        <v>96.729838709677423</v>
      </c>
    </row>
    <row r="51" spans="9:27" x14ac:dyDescent="0.3">
      <c r="J51" s="355" t="s">
        <v>90</v>
      </c>
      <c r="K51">
        <f>(G1+G5*R37+2*S37*G5+3*G5*T37+4*U37)/(S37+Q37+R37+T37+U37)</f>
        <v>74.112804878048777</v>
      </c>
    </row>
    <row r="52" spans="9:27" x14ac:dyDescent="0.3">
      <c r="J52" s="355" t="s">
        <v>91</v>
      </c>
      <c r="K52">
        <f>(G1+G5*R37+2*S37*G5+3*G5*T37+4*U37+5*V37*G5)/(S37+Q37+R37+T37+U37+V37)</f>
        <v>73.418877551020415</v>
      </c>
    </row>
    <row r="53" spans="9:27" x14ac:dyDescent="0.3">
      <c r="L53" s="4"/>
    </row>
    <row r="54" spans="9:27" x14ac:dyDescent="0.3">
      <c r="J54" s="235" t="s">
        <v>74</v>
      </c>
      <c r="K54">
        <f>G1*2</f>
        <v>4600</v>
      </c>
    </row>
    <row r="55" spans="9:27" x14ac:dyDescent="0.3">
      <c r="J55" s="235" t="s">
        <v>75</v>
      </c>
      <c r="K55">
        <f>SUM(P39+P47)</f>
        <v>3129.84</v>
      </c>
    </row>
    <row r="56" spans="9:27" x14ac:dyDescent="0.3">
      <c r="J56" s="235" t="s">
        <v>76</v>
      </c>
      <c r="K56">
        <f>SUM(K54:K55)</f>
        <v>7729.84</v>
      </c>
    </row>
    <row r="61" spans="9:27" x14ac:dyDescent="0.3">
      <c r="J61" s="237" t="s">
        <v>100</v>
      </c>
      <c r="K61" s="355" t="s">
        <v>78</v>
      </c>
      <c r="L61">
        <v>14</v>
      </c>
      <c r="M61">
        <v>12</v>
      </c>
      <c r="N61">
        <v>10</v>
      </c>
      <c r="O61">
        <v>10</v>
      </c>
      <c r="P61">
        <v>8</v>
      </c>
      <c r="Q61">
        <v>7</v>
      </c>
      <c r="R61">
        <v>7</v>
      </c>
      <c r="S61">
        <v>8</v>
      </c>
      <c r="T61">
        <v>9</v>
      </c>
      <c r="U61">
        <v>10</v>
      </c>
      <c r="V61">
        <v>8</v>
      </c>
    </row>
    <row r="62" spans="9:27" x14ac:dyDescent="0.3">
      <c r="J62" t="s">
        <v>79</v>
      </c>
      <c r="Y62" s="613" t="s">
        <v>68</v>
      </c>
      <c r="Z62" s="35" t="s">
        <v>80</v>
      </c>
      <c r="AA62" s="35" t="s">
        <v>81</v>
      </c>
    </row>
    <row r="63" spans="9:27" x14ac:dyDescent="0.3">
      <c r="J63" t="s">
        <v>75</v>
      </c>
      <c r="Y63" s="609" t="s">
        <v>5</v>
      </c>
      <c r="Z63" s="35">
        <v>61</v>
      </c>
      <c r="AA63" s="35">
        <f>Z63-L61</f>
        <v>47</v>
      </c>
    </row>
    <row r="64" spans="9:27" x14ac:dyDescent="0.3">
      <c r="I64" s="354" t="s">
        <v>101</v>
      </c>
      <c r="J64">
        <v>0</v>
      </c>
      <c r="L64" t="s">
        <v>83</v>
      </c>
      <c r="M64">
        <f>SUM(L61:Q61)</f>
        <v>61</v>
      </c>
      <c r="O64" t="s">
        <v>84</v>
      </c>
      <c r="P64">
        <f>M61*G5+2*G5*N61+3*O61*G5+4*P61*G5+5*Q61*G5+6*G5*R61</f>
        <v>2389.2974999999997</v>
      </c>
      <c r="Y64" s="609" t="s">
        <v>7</v>
      </c>
      <c r="Z64" s="35"/>
      <c r="AA64" s="35">
        <f>AA63-M61</f>
        <v>35</v>
      </c>
    </row>
    <row r="65" spans="7:27" x14ac:dyDescent="0.3">
      <c r="I65" s="354" t="s">
        <v>102</v>
      </c>
      <c r="J65">
        <f>M61*G5</f>
        <v>167.67000000000002</v>
      </c>
      <c r="Y65" s="609" t="s">
        <v>9</v>
      </c>
      <c r="Z65" s="35"/>
      <c r="AA65" s="35">
        <f>AA64-N61</f>
        <v>25</v>
      </c>
    </row>
    <row r="66" spans="7:27" x14ac:dyDescent="0.3">
      <c r="I66" s="354" t="s">
        <v>103</v>
      </c>
      <c r="J66">
        <f>M61*G5+2*N61*G5</f>
        <v>447.12</v>
      </c>
      <c r="Y66" s="609" t="s">
        <v>11</v>
      </c>
      <c r="Z66" s="35"/>
      <c r="AA66" s="35">
        <f>AA65-O61</f>
        <v>15</v>
      </c>
    </row>
    <row r="67" spans="7:27" x14ac:dyDescent="0.3">
      <c r="I67" s="354" t="s">
        <v>104</v>
      </c>
      <c r="J67">
        <f>M61*G5+2*N61*G5+3*G5*O61</f>
        <v>866.29500000000007</v>
      </c>
      <c r="Y67" s="609" t="s">
        <v>13</v>
      </c>
      <c r="Z67" s="35"/>
      <c r="AA67" s="35">
        <f>AA66-P61</f>
        <v>7</v>
      </c>
    </row>
    <row r="68" spans="7:27" x14ac:dyDescent="0.3">
      <c r="I68" s="354" t="s">
        <v>106</v>
      </c>
      <c r="J68">
        <f>M61*G5+2*N61*G5+3*G5*O61+4*P61*G5</f>
        <v>1313.415</v>
      </c>
      <c r="Y68" s="609" t="s">
        <v>15</v>
      </c>
      <c r="Z68" s="35"/>
      <c r="AA68" s="35">
        <f>AA67-Q61</f>
        <v>0</v>
      </c>
    </row>
    <row r="69" spans="7:27" x14ac:dyDescent="0.3">
      <c r="I69" s="354" t="s">
        <v>114</v>
      </c>
      <c r="J69">
        <f>M61*G5+2*N61*G5+3*G5*O61+4*P61*G5+5*Q61*G5</f>
        <v>1802.4524999999999</v>
      </c>
      <c r="K69">
        <f>ABS(G1-J69)</f>
        <v>497.54750000000013</v>
      </c>
      <c r="Y69" s="609" t="s">
        <v>17</v>
      </c>
      <c r="Z69" s="35">
        <v>42</v>
      </c>
      <c r="AA69" s="35">
        <f>Z69-R61</f>
        <v>35</v>
      </c>
    </row>
    <row r="70" spans="7:27" x14ac:dyDescent="0.3">
      <c r="G70" t="s">
        <v>105</v>
      </c>
      <c r="I70" s="267" t="s">
        <v>115</v>
      </c>
      <c r="J70">
        <f>M61*G5+2*N61*G5+3*G5*O61+4*P61*G5+5*Q61*G5+6*R61*G5</f>
        <v>2389.2974999999997</v>
      </c>
      <c r="K70">
        <f>ABS(G1-J70)</f>
        <v>89.297499999999673</v>
      </c>
      <c r="Y70" s="609" t="s">
        <v>19</v>
      </c>
      <c r="Z70" s="35"/>
      <c r="AA70" s="35">
        <f>AA69-S61</f>
        <v>27</v>
      </c>
    </row>
    <row r="71" spans="7:27" x14ac:dyDescent="0.3">
      <c r="I71" s="354" t="s">
        <v>116</v>
      </c>
      <c r="J71">
        <f>M61*G5+2*N61*G5+3*G5*O61+4*P61*G5+5*Q61*G5+6*R61*G5+7*G5*S61</f>
        <v>3171.7574999999997</v>
      </c>
      <c r="K71">
        <f>ABS(G1-J71)</f>
        <v>871.75749999999971</v>
      </c>
      <c r="Y71" s="609" t="s">
        <v>21</v>
      </c>
      <c r="Z71" s="35"/>
      <c r="AA71" s="35">
        <f>AA70-T61</f>
        <v>18</v>
      </c>
    </row>
    <row r="72" spans="7:27" x14ac:dyDescent="0.3">
      <c r="Y72" s="609" t="s">
        <v>23</v>
      </c>
      <c r="Z72" s="35"/>
      <c r="AA72" s="35">
        <f>AA71-U61</f>
        <v>8</v>
      </c>
    </row>
    <row r="73" spans="7:27" x14ac:dyDescent="0.3">
      <c r="J73" t="s">
        <v>113</v>
      </c>
      <c r="Y73" s="609" t="s">
        <v>28</v>
      </c>
      <c r="Z73" s="35"/>
      <c r="AA73" s="35">
        <f>AA72-V61</f>
        <v>0</v>
      </c>
    </row>
    <row r="74" spans="7:27" x14ac:dyDescent="0.3">
      <c r="J74" t="s">
        <v>75</v>
      </c>
    </row>
    <row r="75" spans="7:27" x14ac:dyDescent="0.3">
      <c r="I75" s="354" t="s">
        <v>101</v>
      </c>
      <c r="J75">
        <v>0</v>
      </c>
      <c r="L75" s="4" t="s">
        <v>93</v>
      </c>
      <c r="M75">
        <f>SUM(R61:V61)</f>
        <v>42</v>
      </c>
      <c r="O75" t="s">
        <v>84</v>
      </c>
      <c r="P75">
        <f>T61*G5+2*G5*U61+3*V61*G5</f>
        <v>740.54250000000002</v>
      </c>
    </row>
    <row r="76" spans="7:27" x14ac:dyDescent="0.3">
      <c r="I76" s="354" t="s">
        <v>102</v>
      </c>
      <c r="J76">
        <f>T61*G5</f>
        <v>125.7525</v>
      </c>
    </row>
    <row r="77" spans="7:27" x14ac:dyDescent="0.3">
      <c r="I77" s="354" t="s">
        <v>103</v>
      </c>
      <c r="J77">
        <f>T61*G5+2*U61*G5</f>
        <v>405.20249999999999</v>
      </c>
    </row>
    <row r="78" spans="7:27" x14ac:dyDescent="0.3">
      <c r="G78" t="s">
        <v>105</v>
      </c>
      <c r="I78" s="267" t="s">
        <v>104</v>
      </c>
      <c r="J78">
        <f>T61*G5+2*U61*G5+3*V61*G5</f>
        <v>740.54250000000002</v>
      </c>
      <c r="K78">
        <f>ABS(J78-G1)</f>
        <v>1559.4575</v>
      </c>
    </row>
    <row r="81" spans="10:12" x14ac:dyDescent="0.3">
      <c r="J81" s="235" t="s">
        <v>74</v>
      </c>
      <c r="K81">
        <f>G1*2</f>
        <v>4600</v>
      </c>
    </row>
    <row r="82" spans="10:12" x14ac:dyDescent="0.3">
      <c r="J82" s="235" t="s">
        <v>75</v>
      </c>
      <c r="K82">
        <f>SUM(P64+P75)</f>
        <v>3129.8399999999997</v>
      </c>
    </row>
    <row r="83" spans="10:12" x14ac:dyDescent="0.3">
      <c r="J83" s="235" t="s">
        <v>76</v>
      </c>
      <c r="K83">
        <f>SUM(K81:K82)</f>
        <v>7729.84</v>
      </c>
      <c r="L8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3716-B712-420F-B0D4-0A16D364BF88}">
  <dimension ref="A1:AA83"/>
  <sheetViews>
    <sheetView topLeftCell="E1" zoomScale="96" workbookViewId="0">
      <selection activeCell="Z84" sqref="Z84"/>
    </sheetView>
  </sheetViews>
  <sheetFormatPr defaultColWidth="8.77734375" defaultRowHeight="14.4" x14ac:dyDescent="0.3"/>
  <cols>
    <col min="1" max="1" width="9.33203125" bestFit="1" customWidth="1"/>
    <col min="4" max="4" width="9.109375" bestFit="1" customWidth="1"/>
    <col min="10" max="10" width="20.77734375" bestFit="1" customWidth="1"/>
    <col min="11" max="11" width="12.44140625" bestFit="1" customWidth="1"/>
    <col min="25" max="25" width="11" bestFit="1" customWidth="1"/>
    <col min="26" max="26" width="13.77734375" bestFit="1" customWidth="1"/>
  </cols>
  <sheetData>
    <row r="1" spans="1:27" x14ac:dyDescent="0.3">
      <c r="A1" t="s">
        <v>117</v>
      </c>
      <c r="B1" s="421" t="s">
        <v>117</v>
      </c>
      <c r="C1" s="241" t="s">
        <v>1</v>
      </c>
      <c r="D1" s="241" t="s">
        <v>2</v>
      </c>
      <c r="F1" s="136" t="s">
        <v>42</v>
      </c>
      <c r="G1">
        <v>2300</v>
      </c>
      <c r="I1" s="361" t="s">
        <v>40</v>
      </c>
      <c r="J1" s="246" t="s">
        <v>26</v>
      </c>
      <c r="K1" s="247" t="s">
        <v>27</v>
      </c>
      <c r="L1" s="422" t="s">
        <v>5</v>
      </c>
      <c r="M1" s="422" t="s">
        <v>7</v>
      </c>
      <c r="N1" s="422" t="s">
        <v>9</v>
      </c>
      <c r="O1" s="422" t="s">
        <v>11</v>
      </c>
      <c r="P1" s="422" t="s">
        <v>13</v>
      </c>
      <c r="Q1" s="422" t="s">
        <v>15</v>
      </c>
      <c r="R1" s="422" t="s">
        <v>17</v>
      </c>
      <c r="S1" s="422" t="s">
        <v>19</v>
      </c>
      <c r="T1" s="422" t="s">
        <v>21</v>
      </c>
      <c r="U1" s="422" t="s">
        <v>23</v>
      </c>
      <c r="V1" s="422" t="s">
        <v>28</v>
      </c>
    </row>
    <row r="2" spans="1:27" x14ac:dyDescent="0.3">
      <c r="A2">
        <v>243</v>
      </c>
      <c r="B2" s="610" t="s">
        <v>5</v>
      </c>
      <c r="C2" s="421">
        <v>11</v>
      </c>
      <c r="D2" s="421">
        <v>12.58</v>
      </c>
      <c r="F2" s="136" t="s">
        <v>3</v>
      </c>
      <c r="G2">
        <v>0.46</v>
      </c>
      <c r="J2" s="248" t="s">
        <v>32</v>
      </c>
      <c r="L2">
        <v>13</v>
      </c>
      <c r="M2">
        <v>13</v>
      </c>
      <c r="N2">
        <v>13</v>
      </c>
      <c r="O2">
        <v>11</v>
      </c>
      <c r="P2">
        <v>9</v>
      </c>
      <c r="Q2">
        <v>9</v>
      </c>
      <c r="R2">
        <v>10</v>
      </c>
      <c r="S2">
        <v>11</v>
      </c>
      <c r="T2">
        <v>9</v>
      </c>
      <c r="U2">
        <v>8</v>
      </c>
      <c r="V2">
        <v>8</v>
      </c>
    </row>
    <row r="3" spans="1:27" x14ac:dyDescent="0.3">
      <c r="A3" s="240">
        <v>0.125</v>
      </c>
      <c r="B3" s="610" t="s">
        <v>7</v>
      </c>
      <c r="C3" s="421">
        <v>12</v>
      </c>
      <c r="D3" s="421">
        <v>12.4</v>
      </c>
      <c r="F3" s="136" t="s">
        <v>70</v>
      </c>
      <c r="G3">
        <f>A2/8</f>
        <v>30.375</v>
      </c>
      <c r="J3" s="140" t="s">
        <v>71</v>
      </c>
      <c r="K3">
        <v>13</v>
      </c>
      <c r="L3">
        <v>13</v>
      </c>
      <c r="M3">
        <v>13</v>
      </c>
      <c r="N3">
        <v>11</v>
      </c>
      <c r="O3">
        <v>9</v>
      </c>
      <c r="P3">
        <v>9</v>
      </c>
      <c r="Q3">
        <v>10</v>
      </c>
      <c r="R3">
        <v>11</v>
      </c>
      <c r="S3">
        <v>9</v>
      </c>
      <c r="T3">
        <v>8</v>
      </c>
      <c r="U3">
        <v>8</v>
      </c>
    </row>
    <row r="4" spans="1:27" x14ac:dyDescent="0.3">
      <c r="B4" s="610" t="s">
        <v>9</v>
      </c>
      <c r="C4" s="421">
        <v>13</v>
      </c>
      <c r="D4" s="421">
        <v>12.58</v>
      </c>
      <c r="F4" s="136" t="s">
        <v>72</v>
      </c>
      <c r="G4">
        <f>AVERAGE(D2:D12)</f>
        <v>9.6963636363636354</v>
      </c>
      <c r="J4" s="140" t="s">
        <v>40</v>
      </c>
      <c r="K4">
        <v>57</v>
      </c>
      <c r="L4">
        <v>0</v>
      </c>
      <c r="M4">
        <v>0</v>
      </c>
      <c r="N4">
        <v>0</v>
      </c>
      <c r="O4">
        <v>57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W4" cm="1">
        <f t="array" ref="W4">SUM(K4:U4/57)</f>
        <v>2</v>
      </c>
    </row>
    <row r="5" spans="1:27" x14ac:dyDescent="0.3">
      <c r="B5" s="610" t="s">
        <v>11</v>
      </c>
      <c r="C5" s="421">
        <v>4</v>
      </c>
      <c r="D5" s="421">
        <v>10.01</v>
      </c>
      <c r="F5" s="136" t="s">
        <v>73</v>
      </c>
      <c r="G5">
        <f>G2*G3</f>
        <v>13.9725</v>
      </c>
      <c r="J5" s="140" t="s">
        <v>43</v>
      </c>
      <c r="L5">
        <v>57</v>
      </c>
      <c r="M5">
        <v>0</v>
      </c>
      <c r="N5">
        <v>0</v>
      </c>
      <c r="O5">
        <v>0</v>
      </c>
      <c r="P5">
        <v>57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7" x14ac:dyDescent="0.3">
      <c r="B6" s="610" t="s">
        <v>13</v>
      </c>
      <c r="C6" s="421">
        <v>4</v>
      </c>
      <c r="D6" s="421">
        <v>8.2100000000000009</v>
      </c>
      <c r="F6" s="136" t="s">
        <v>38</v>
      </c>
      <c r="G6">
        <f>SQRT(2*G1*G4/G5)</f>
        <v>56.499721071058126</v>
      </c>
      <c r="J6" s="140" t="s">
        <v>45</v>
      </c>
      <c r="L6">
        <f>K4-L2</f>
        <v>44</v>
      </c>
      <c r="M6">
        <f t="shared" ref="M6:V6" si="0">L6+L4-M2</f>
        <v>31</v>
      </c>
      <c r="N6">
        <f>M6+M4-N2</f>
        <v>18</v>
      </c>
      <c r="O6">
        <f t="shared" si="0"/>
        <v>7</v>
      </c>
      <c r="P6">
        <f t="shared" si="0"/>
        <v>55</v>
      </c>
      <c r="Q6">
        <f t="shared" si="0"/>
        <v>46</v>
      </c>
      <c r="R6">
        <f t="shared" si="0"/>
        <v>36</v>
      </c>
      <c r="S6">
        <f t="shared" si="0"/>
        <v>25</v>
      </c>
      <c r="T6">
        <f t="shared" si="0"/>
        <v>16</v>
      </c>
      <c r="U6">
        <f t="shared" si="0"/>
        <v>8</v>
      </c>
      <c r="V6">
        <f t="shared" si="0"/>
        <v>0</v>
      </c>
    </row>
    <row r="7" spans="1:27" x14ac:dyDescent="0.3">
      <c r="B7" s="610" t="s">
        <v>15</v>
      </c>
      <c r="C7" s="421">
        <v>8</v>
      </c>
      <c r="D7" s="421">
        <v>8.14</v>
      </c>
      <c r="G7">
        <v>57</v>
      </c>
    </row>
    <row r="8" spans="1:27" x14ac:dyDescent="0.3">
      <c r="B8" s="610" t="s">
        <v>17</v>
      </c>
      <c r="C8" s="421">
        <v>12</v>
      </c>
      <c r="D8" s="421">
        <v>9.3000000000000007</v>
      </c>
      <c r="J8" s="140" t="s">
        <v>74</v>
      </c>
      <c r="K8">
        <f>2*G1</f>
        <v>4600</v>
      </c>
    </row>
    <row r="9" spans="1:27" x14ac:dyDescent="0.3">
      <c r="B9" s="610" t="s">
        <v>19</v>
      </c>
      <c r="C9" s="421">
        <v>13</v>
      </c>
      <c r="D9" s="421">
        <v>10.41</v>
      </c>
      <c r="J9" s="140" t="s">
        <v>75</v>
      </c>
      <c r="K9" cm="1">
        <f t="array" ref="K9">SUM(L6:V6*G5)</f>
        <v>3996.1350000000002</v>
      </c>
    </row>
    <row r="10" spans="1:27" x14ac:dyDescent="0.3">
      <c r="B10" s="610" t="s">
        <v>21</v>
      </c>
      <c r="C10" s="421">
        <v>4</v>
      </c>
      <c r="D10" s="421">
        <v>8.49</v>
      </c>
      <c r="J10" s="140" t="s">
        <v>76</v>
      </c>
      <c r="K10">
        <f>SUM(K8:K9)</f>
        <v>8596.1350000000002</v>
      </c>
    </row>
    <row r="11" spans="1:27" x14ac:dyDescent="0.3">
      <c r="B11" s="610" t="s">
        <v>23</v>
      </c>
      <c r="C11" s="421">
        <v>4</v>
      </c>
      <c r="D11" s="421">
        <v>7.14</v>
      </c>
    </row>
    <row r="12" spans="1:27" x14ac:dyDescent="0.3">
      <c r="B12" s="610" t="s">
        <v>28</v>
      </c>
      <c r="C12" s="421">
        <v>8</v>
      </c>
      <c r="D12" s="421">
        <v>7.4</v>
      </c>
    </row>
    <row r="13" spans="1:27" x14ac:dyDescent="0.3">
      <c r="J13" s="246" t="s">
        <v>77</v>
      </c>
      <c r="K13" s="360" t="s">
        <v>78</v>
      </c>
      <c r="L13">
        <v>13</v>
      </c>
      <c r="M13">
        <v>13</v>
      </c>
      <c r="N13">
        <v>13</v>
      </c>
      <c r="O13">
        <v>11</v>
      </c>
      <c r="P13">
        <v>9</v>
      </c>
      <c r="Q13">
        <v>9</v>
      </c>
      <c r="R13">
        <v>10</v>
      </c>
      <c r="S13">
        <v>11</v>
      </c>
      <c r="T13">
        <v>9</v>
      </c>
      <c r="U13">
        <v>8</v>
      </c>
      <c r="V13">
        <v>8</v>
      </c>
    </row>
    <row r="14" spans="1:27" x14ac:dyDescent="0.3">
      <c r="J14" t="s">
        <v>79</v>
      </c>
      <c r="Y14" s="614" t="s">
        <v>68</v>
      </c>
      <c r="Z14" s="41" t="s">
        <v>80</v>
      </c>
      <c r="AA14" s="41" t="s">
        <v>81</v>
      </c>
    </row>
    <row r="15" spans="1:27" x14ac:dyDescent="0.3">
      <c r="J15" s="279" t="s">
        <v>82</v>
      </c>
      <c r="K15" s="279">
        <f>G1</f>
        <v>2300</v>
      </c>
      <c r="L15" s="4" t="s">
        <v>83</v>
      </c>
      <c r="M15" s="4">
        <f>SUM(L13:Q13)</f>
        <v>68</v>
      </c>
      <c r="N15" s="4"/>
      <c r="O15" s="4" t="s">
        <v>84</v>
      </c>
      <c r="P15" s="4">
        <f>M13*G5+2*N13*G5+3*O13*G5+4*P13*G5+5*Q13*G5</f>
        <v>2137.7925</v>
      </c>
      <c r="Q15" s="4"/>
      <c r="R15" s="4"/>
      <c r="S15" s="4"/>
      <c r="T15" s="4"/>
      <c r="U15" s="4"/>
      <c r="V15" s="4"/>
      <c r="Y15" s="610" t="s">
        <v>5</v>
      </c>
      <c r="Z15" s="41">
        <v>68</v>
      </c>
      <c r="AA15" s="41">
        <f>Z15-L13</f>
        <v>55</v>
      </c>
    </row>
    <row r="16" spans="1:27" x14ac:dyDescent="0.3">
      <c r="J16" s="279" t="s">
        <v>85</v>
      </c>
      <c r="K16" s="279">
        <f>(G1+G5*M13)/2</f>
        <v>1240.82125</v>
      </c>
      <c r="Y16" s="610" t="s">
        <v>7</v>
      </c>
      <c r="Z16" s="41"/>
      <c r="AA16" s="41">
        <f>AA15-M13</f>
        <v>42</v>
      </c>
    </row>
    <row r="17" spans="8:27" x14ac:dyDescent="0.3">
      <c r="J17" s="279" t="s">
        <v>86</v>
      </c>
      <c r="K17" s="279">
        <f>(G1+M13*G5+N13*G5*2)/3</f>
        <v>948.30916666666656</v>
      </c>
      <c r="Y17" s="610" t="s">
        <v>9</v>
      </c>
      <c r="Z17" s="41"/>
      <c r="AA17" s="41">
        <f>AA16-N13</f>
        <v>29</v>
      </c>
    </row>
    <row r="18" spans="8:27" x14ac:dyDescent="0.3">
      <c r="J18" s="279" t="s">
        <v>87</v>
      </c>
      <c r="K18" s="279">
        <f>(G1+M13*G5+2*N13*G5+3*O13*G5)/4</f>
        <v>826.505</v>
      </c>
      <c r="Q18" s="4"/>
      <c r="Y18" s="610" t="s">
        <v>11</v>
      </c>
      <c r="Z18" s="41"/>
      <c r="AA18" s="41">
        <f>AA17-O13</f>
        <v>18</v>
      </c>
    </row>
    <row r="19" spans="8:27" x14ac:dyDescent="0.3">
      <c r="H19" t="s">
        <v>118</v>
      </c>
      <c r="I19" t="s">
        <v>89</v>
      </c>
      <c r="J19" s="279" t="s">
        <v>90</v>
      </c>
      <c r="K19" s="279">
        <f>(G1+M13*G5+2*N13*G5+3*O13*G5+4*P13*G5)/5</f>
        <v>761.80599999999993</v>
      </c>
      <c r="Q19" s="4"/>
      <c r="Y19" s="610" t="s">
        <v>13</v>
      </c>
      <c r="Z19" s="41"/>
      <c r="AA19" s="41">
        <f>AA18-P13</f>
        <v>9</v>
      </c>
    </row>
    <row r="20" spans="8:27" x14ac:dyDescent="0.3">
      <c r="J20" s="280" t="s">
        <v>91</v>
      </c>
      <c r="K20" s="280">
        <f>(G1+M13*G5+2*N13*G5+3*O13*G5+4*P13*G5+5*Q13*G5)/6</f>
        <v>739.6320833333333</v>
      </c>
      <c r="Q20" s="4"/>
      <c r="Y20" s="610" t="s">
        <v>15</v>
      </c>
      <c r="Z20" s="41"/>
      <c r="AA20" s="41">
        <f>AA19-Q13</f>
        <v>0</v>
      </c>
    </row>
    <row r="21" spans="8:27" x14ac:dyDescent="0.3">
      <c r="J21" s="279" t="s">
        <v>111</v>
      </c>
      <c r="K21" s="279">
        <f>(G1+M13*G5+2*N13*G5+3*O13*G5+4*P13*G5+5*Q13*G5 +6*R13*G5)/7</f>
        <v>753.73464285714283</v>
      </c>
      <c r="Q21" s="4"/>
      <c r="Y21" s="610" t="s">
        <v>17</v>
      </c>
      <c r="Z21" s="41">
        <v>46</v>
      </c>
      <c r="AA21" s="41">
        <f>Z21-R13</f>
        <v>36</v>
      </c>
    </row>
    <row r="22" spans="8:27" x14ac:dyDescent="0.3">
      <c r="Q22" s="4"/>
      <c r="Y22" s="610" t="s">
        <v>19</v>
      </c>
      <c r="Z22" s="41"/>
      <c r="AA22" s="41">
        <f>AA21-S13</f>
        <v>25</v>
      </c>
    </row>
    <row r="23" spans="8:27" x14ac:dyDescent="0.3">
      <c r="Q23" s="4"/>
      <c r="Y23" s="610" t="s">
        <v>21</v>
      </c>
      <c r="Z23" s="41"/>
      <c r="AA23" s="41">
        <f>AA22-T13</f>
        <v>16</v>
      </c>
    </row>
    <row r="24" spans="8:27" x14ac:dyDescent="0.3">
      <c r="J24" t="s">
        <v>119</v>
      </c>
      <c r="Q24" s="4"/>
      <c r="Y24" s="610" t="s">
        <v>23</v>
      </c>
      <c r="Z24" s="41"/>
      <c r="AA24" s="41">
        <f>AA23-U13</f>
        <v>8</v>
      </c>
    </row>
    <row r="25" spans="8:27" x14ac:dyDescent="0.3">
      <c r="J25" s="245" t="s">
        <v>82</v>
      </c>
      <c r="K25" s="279">
        <f>G1</f>
        <v>2300</v>
      </c>
      <c r="L25" s="4" t="s">
        <v>93</v>
      </c>
      <c r="M25">
        <f>SUM(R13:V13)</f>
        <v>46</v>
      </c>
      <c r="O25" t="s">
        <v>84</v>
      </c>
      <c r="P25">
        <f>S13*G5+2*T13*G5+3*U13*G5+4*V13*G5</f>
        <v>1187.6624999999999</v>
      </c>
      <c r="Q25" s="4"/>
      <c r="Y25" s="610" t="s">
        <v>28</v>
      </c>
      <c r="Z25" s="41"/>
      <c r="AA25" s="41">
        <f>AA24-V13</f>
        <v>0</v>
      </c>
    </row>
    <row r="26" spans="8:27" x14ac:dyDescent="0.3">
      <c r="J26" s="245" t="s">
        <v>85</v>
      </c>
      <c r="K26" s="279">
        <f>(G1+S13*G5)/2</f>
        <v>1226.8487500000001</v>
      </c>
      <c r="Q26" s="4"/>
    </row>
    <row r="27" spans="8:27" x14ac:dyDescent="0.3">
      <c r="J27" s="281" t="s">
        <v>86</v>
      </c>
      <c r="K27" s="280">
        <f>(G1+S13*G5+2*T13*G5)/3</f>
        <v>901.73416666666674</v>
      </c>
      <c r="Q27" s="4"/>
    </row>
    <row r="28" spans="8:27" x14ac:dyDescent="0.3">
      <c r="J28" s="279" t="s">
        <v>87</v>
      </c>
      <c r="K28" s="279">
        <f>(G1+S13*G5+2*T13*G5+3*U13*G5)/4</f>
        <v>760.13562500000012</v>
      </c>
      <c r="Q28" s="4"/>
    </row>
    <row r="29" spans="8:27" x14ac:dyDescent="0.3">
      <c r="J29" s="279" t="s">
        <v>90</v>
      </c>
      <c r="K29" s="279">
        <f>(G1+S13*G5+2*T13*G5+3*U13*G5+4*V13*G5)/5</f>
        <v>697.53250000000003</v>
      </c>
    </row>
    <row r="31" spans="8:27" x14ac:dyDescent="0.3">
      <c r="J31" s="246" t="s">
        <v>74</v>
      </c>
      <c r="K31" s="115">
        <f>2*G1</f>
        <v>4600</v>
      </c>
    </row>
    <row r="32" spans="8:27" x14ac:dyDescent="0.3">
      <c r="J32" s="246" t="s">
        <v>75</v>
      </c>
      <c r="K32" s="115">
        <f>SUM(P15,P25)</f>
        <v>3325.4549999999999</v>
      </c>
    </row>
    <row r="33" spans="8:27" x14ac:dyDescent="0.3">
      <c r="J33" s="246" t="s">
        <v>76</v>
      </c>
      <c r="K33" s="115">
        <f>SUM(K31:K32)</f>
        <v>7925.4549999999999</v>
      </c>
      <c r="L33" s="4"/>
    </row>
    <row r="37" spans="8:27" x14ac:dyDescent="0.3">
      <c r="J37" s="246" t="s">
        <v>96</v>
      </c>
      <c r="K37" s="360" t="s">
        <v>78</v>
      </c>
      <c r="L37">
        <v>13</v>
      </c>
      <c r="M37">
        <v>13</v>
      </c>
      <c r="N37">
        <v>13</v>
      </c>
      <c r="O37">
        <v>11</v>
      </c>
      <c r="P37">
        <v>9</v>
      </c>
      <c r="Q37">
        <v>9</v>
      </c>
      <c r="R37">
        <v>10</v>
      </c>
      <c r="S37">
        <v>11</v>
      </c>
      <c r="T37">
        <v>9</v>
      </c>
      <c r="U37">
        <v>8</v>
      </c>
      <c r="V37">
        <v>8</v>
      </c>
    </row>
    <row r="38" spans="8:27" x14ac:dyDescent="0.3">
      <c r="J38" t="s">
        <v>79</v>
      </c>
      <c r="Y38" s="614" t="s">
        <v>68</v>
      </c>
      <c r="Z38" s="41" t="s">
        <v>80</v>
      </c>
      <c r="AA38" s="41" t="s">
        <v>81</v>
      </c>
    </row>
    <row r="39" spans="8:27" x14ac:dyDescent="0.3">
      <c r="J39" s="279" t="s">
        <v>82</v>
      </c>
      <c r="K39">
        <f>G1/L37</f>
        <v>176.92307692307693</v>
      </c>
      <c r="L39" t="s">
        <v>83</v>
      </c>
      <c r="M39">
        <f>SUM(L37:P37)</f>
        <v>59</v>
      </c>
      <c r="O39" t="s">
        <v>84</v>
      </c>
      <c r="P39">
        <f>M37*G5+2*G5*N37+3*O37*G5+4*G5*P37</f>
        <v>1509.03</v>
      </c>
      <c r="Y39" s="610" t="s">
        <v>5</v>
      </c>
      <c r="Z39" s="41">
        <v>59</v>
      </c>
      <c r="AA39" s="41">
        <f>Z39-L37</f>
        <v>46</v>
      </c>
    </row>
    <row r="40" spans="8:27" x14ac:dyDescent="0.3">
      <c r="J40" s="279" t="s">
        <v>85</v>
      </c>
      <c r="K40">
        <f>(G1+G5*M37)/(L37+M37)</f>
        <v>95.447788461538465</v>
      </c>
      <c r="Y40" s="610" t="s">
        <v>7</v>
      </c>
      <c r="Z40" s="41"/>
      <c r="AA40" s="41">
        <f>AA39-M37</f>
        <v>33</v>
      </c>
    </row>
    <row r="41" spans="8:27" x14ac:dyDescent="0.3">
      <c r="J41" s="279" t="s">
        <v>86</v>
      </c>
      <c r="K41">
        <f>(G1+M37*G5+2*N37*G5)/(L37+M37+N37)</f>
        <v>72.946858974358975</v>
      </c>
      <c r="Y41" s="610" t="s">
        <v>9</v>
      </c>
      <c r="Z41" s="41"/>
      <c r="AA41" s="41">
        <f>AA40-N37</f>
        <v>20</v>
      </c>
    </row>
    <row r="42" spans="8:27" x14ac:dyDescent="0.3">
      <c r="J42" s="280" t="s">
        <v>87</v>
      </c>
      <c r="K42">
        <f>(G1+M37*G5+2*N37*G5+3*O37*G5)/(L37+M37+N37+O37)</f>
        <v>66.120400000000004</v>
      </c>
      <c r="Y42" s="610" t="s">
        <v>11</v>
      </c>
      <c r="Z42" s="41"/>
      <c r="AA42" s="41">
        <f>AA41-O37</f>
        <v>9</v>
      </c>
    </row>
    <row r="43" spans="8:27" x14ac:dyDescent="0.3">
      <c r="H43" t="s">
        <v>88</v>
      </c>
      <c r="I43" t="s">
        <v>89</v>
      </c>
      <c r="J43" s="279" t="s">
        <v>90</v>
      </c>
      <c r="K43">
        <f>(G1+M37*G5+2*N37*G5+3*O37*G5+4*P37*G5)/(L37+M37+N37+O37+P37)</f>
        <v>64.559830508474576</v>
      </c>
      <c r="Y43" s="610" t="s">
        <v>13</v>
      </c>
      <c r="Z43" s="41"/>
      <c r="AA43" s="41">
        <f>AA42-P37</f>
        <v>0</v>
      </c>
    </row>
    <row r="44" spans="8:27" x14ac:dyDescent="0.3">
      <c r="J44" s="279" t="s">
        <v>91</v>
      </c>
      <c r="K44">
        <f>(G1+M37*G5+2*N37*G5+3*O37*G5+4*P37*G5+5*Q37*G5)/(L37+M37+N37+O37+P37+Q37)</f>
        <v>65.261654411764695</v>
      </c>
      <c r="Y44" s="610" t="s">
        <v>15</v>
      </c>
      <c r="Z44" s="41">
        <v>55</v>
      </c>
      <c r="AA44" s="41">
        <f>Z44-Q37</f>
        <v>46</v>
      </c>
    </row>
    <row r="45" spans="8:27" x14ac:dyDescent="0.3">
      <c r="Y45" s="610" t="s">
        <v>17</v>
      </c>
      <c r="Z45" s="41"/>
      <c r="AA45" s="41">
        <f>AA44-R37</f>
        <v>36</v>
      </c>
    </row>
    <row r="46" spans="8:27" x14ac:dyDescent="0.3">
      <c r="J46" t="s">
        <v>92</v>
      </c>
      <c r="Y46" s="610" t="s">
        <v>19</v>
      </c>
      <c r="Z46" s="41"/>
      <c r="AA46" s="41">
        <f>AA45-S37</f>
        <v>25</v>
      </c>
    </row>
    <row r="47" spans="8:27" x14ac:dyDescent="0.3">
      <c r="J47" s="279" t="s">
        <v>82</v>
      </c>
      <c r="K47">
        <f>G1/Q37</f>
        <v>255.55555555555554</v>
      </c>
      <c r="L47" s="4" t="s">
        <v>93</v>
      </c>
      <c r="M47">
        <f>SUM(Q37:V37)</f>
        <v>55</v>
      </c>
      <c r="O47" t="s">
        <v>84</v>
      </c>
      <c r="P47">
        <f>R37*G5+2*G5*S37+3*G5*T37+4*U37*G5+5*V37*G5</f>
        <v>1830.3975</v>
      </c>
      <c r="Y47" s="610" t="s">
        <v>21</v>
      </c>
      <c r="Z47" s="41"/>
      <c r="AA47" s="41">
        <f>AA46-T37</f>
        <v>16</v>
      </c>
    </row>
    <row r="48" spans="8:27" x14ac:dyDescent="0.3">
      <c r="J48" s="279" t="s">
        <v>85</v>
      </c>
      <c r="K48">
        <f>(G1+G5*R37)/(R37+Q37)</f>
        <v>128.40657894736842</v>
      </c>
      <c r="Y48" s="610" t="s">
        <v>23</v>
      </c>
      <c r="Z48" s="41"/>
      <c r="AA48" s="41">
        <f>AA47-U37</f>
        <v>8</v>
      </c>
    </row>
    <row r="49" spans="8:27" x14ac:dyDescent="0.3">
      <c r="J49" s="279" t="s">
        <v>86</v>
      </c>
      <c r="K49">
        <f>(G1+G5*R37+2*S37*G5)/(S37+Q37+R37)</f>
        <v>91.570666666666668</v>
      </c>
      <c r="Y49" s="610" t="s">
        <v>28</v>
      </c>
      <c r="Z49" s="41">
        <v>8</v>
      </c>
      <c r="AA49" s="41">
        <f>Z49-V37</f>
        <v>0</v>
      </c>
    </row>
    <row r="50" spans="8:27" x14ac:dyDescent="0.3">
      <c r="J50" s="280" t="s">
        <v>87</v>
      </c>
      <c r="K50">
        <f>(G1+G5*R37+2*S37*G5+3*G5*T37)/(S37+Q37+R37+T37)</f>
        <v>80.112243589743585</v>
      </c>
    </row>
    <row r="51" spans="8:27" x14ac:dyDescent="0.3">
      <c r="J51" s="279" t="s">
        <v>90</v>
      </c>
      <c r="K51">
        <f>(G1+G5*R37+2*S37*G5+3*G5*T37+4*U37)/(S37+Q37+R37+T37+U37)</f>
        <v>67.156968085106385</v>
      </c>
    </row>
    <row r="52" spans="8:27" x14ac:dyDescent="0.3">
      <c r="H52" t="s">
        <v>88</v>
      </c>
      <c r="I52" t="s">
        <v>89</v>
      </c>
      <c r="J52" s="279" t="s">
        <v>91</v>
      </c>
      <c r="K52">
        <f>(G1+G5*R37+2*S37*G5+3*G5*T37+4*U37+5*V37*G5)/(S37+Q37+R37+T37+U37+V37)</f>
        <v>67.5505</v>
      </c>
    </row>
    <row r="53" spans="8:27" x14ac:dyDescent="0.3">
      <c r="L53" s="4"/>
    </row>
    <row r="54" spans="8:27" x14ac:dyDescent="0.3">
      <c r="J54" t="s">
        <v>94</v>
      </c>
    </row>
    <row r="55" spans="8:27" x14ac:dyDescent="0.3">
      <c r="J55" s="279" t="s">
        <v>82</v>
      </c>
      <c r="K55">
        <f>G1/V37</f>
        <v>287.5</v>
      </c>
      <c r="L55" t="s">
        <v>95</v>
      </c>
      <c r="M55">
        <v>8</v>
      </c>
      <c r="O55" t="s">
        <v>84</v>
      </c>
      <c r="P55">
        <v>0</v>
      </c>
    </row>
    <row r="57" spans="8:27" x14ac:dyDescent="0.3">
      <c r="J57" s="140" t="s">
        <v>74</v>
      </c>
      <c r="K57">
        <f>G1*3</f>
        <v>6900</v>
      </c>
    </row>
    <row r="58" spans="8:27" x14ac:dyDescent="0.3">
      <c r="J58" s="140" t="s">
        <v>75</v>
      </c>
      <c r="K58">
        <f>SUM(P39+P47)</f>
        <v>3339.4274999999998</v>
      </c>
    </row>
    <row r="59" spans="8:27" x14ac:dyDescent="0.3">
      <c r="J59" s="140" t="s">
        <v>76</v>
      </c>
      <c r="K59">
        <f>SUM(K57:K58)</f>
        <v>10239.4275</v>
      </c>
    </row>
    <row r="61" spans="8:27" x14ac:dyDescent="0.3">
      <c r="J61" s="246" t="s">
        <v>100</v>
      </c>
      <c r="K61" s="360" t="s">
        <v>78</v>
      </c>
      <c r="L61">
        <v>13</v>
      </c>
      <c r="M61">
        <v>13</v>
      </c>
      <c r="N61">
        <v>13</v>
      </c>
      <c r="O61">
        <v>11</v>
      </c>
      <c r="P61">
        <v>9</v>
      </c>
      <c r="Q61">
        <v>9</v>
      </c>
      <c r="R61">
        <v>10</v>
      </c>
      <c r="S61">
        <v>11</v>
      </c>
      <c r="T61">
        <v>9</v>
      </c>
      <c r="U61">
        <v>8</v>
      </c>
      <c r="V61">
        <v>8</v>
      </c>
    </row>
    <row r="62" spans="8:27" x14ac:dyDescent="0.3">
      <c r="J62" t="s">
        <v>79</v>
      </c>
      <c r="Y62" s="614" t="s">
        <v>68</v>
      </c>
      <c r="Z62" s="41" t="s">
        <v>80</v>
      </c>
      <c r="AA62" s="41" t="s">
        <v>81</v>
      </c>
    </row>
    <row r="63" spans="8:27" x14ac:dyDescent="0.3">
      <c r="J63" t="s">
        <v>75</v>
      </c>
      <c r="Y63" s="610" t="s">
        <v>5</v>
      </c>
      <c r="Z63" s="41">
        <v>68</v>
      </c>
      <c r="AA63" s="41">
        <f>Z63-L61</f>
        <v>55</v>
      </c>
    </row>
    <row r="64" spans="8:27" x14ac:dyDescent="0.3">
      <c r="I64" s="118" t="s">
        <v>101</v>
      </c>
      <c r="J64">
        <v>0</v>
      </c>
      <c r="L64" t="s">
        <v>83</v>
      </c>
      <c r="M64">
        <f>SUM(L61:Q61)</f>
        <v>68</v>
      </c>
      <c r="O64" t="s">
        <v>84</v>
      </c>
      <c r="P64">
        <f>M61*G5+2*G5*N61+3*O61*G5+4*P61*G5+5*Q61*G5</f>
        <v>2137.7925</v>
      </c>
      <c r="Y64" s="610" t="s">
        <v>7</v>
      </c>
      <c r="Z64" s="41"/>
      <c r="AA64" s="41">
        <f>AA63-M61</f>
        <v>42</v>
      </c>
    </row>
    <row r="65" spans="7:27" x14ac:dyDescent="0.3">
      <c r="I65" s="118" t="s">
        <v>102</v>
      </c>
      <c r="J65">
        <f>M61*G5</f>
        <v>181.64250000000001</v>
      </c>
      <c r="Y65" s="610" t="s">
        <v>9</v>
      </c>
      <c r="Z65" s="41"/>
      <c r="AA65" s="41">
        <f>AA64-N61</f>
        <v>29</v>
      </c>
    </row>
    <row r="66" spans="7:27" x14ac:dyDescent="0.3">
      <c r="I66" s="118" t="s">
        <v>103</v>
      </c>
      <c r="J66">
        <f>M61*G5+2*N61*G5</f>
        <v>544.92750000000001</v>
      </c>
      <c r="Y66" s="610" t="s">
        <v>11</v>
      </c>
      <c r="Z66" s="41"/>
      <c r="AA66" s="41">
        <f>AA65-O61</f>
        <v>18</v>
      </c>
    </row>
    <row r="67" spans="7:27" x14ac:dyDescent="0.3">
      <c r="I67" s="118" t="s">
        <v>104</v>
      </c>
      <c r="J67">
        <f>M61*G5+2*N61*G5+3*G5*O61</f>
        <v>1006.02</v>
      </c>
      <c r="Y67" s="610" t="s">
        <v>13</v>
      </c>
      <c r="Z67" s="41"/>
      <c r="AA67" s="41">
        <f>AA66-P61</f>
        <v>9</v>
      </c>
    </row>
    <row r="68" spans="7:27" x14ac:dyDescent="0.3">
      <c r="I68" s="118" t="s">
        <v>106</v>
      </c>
      <c r="J68">
        <f>M61*G5+2*N61*G5+3*G5*O61+4*P61*G5</f>
        <v>1509.03</v>
      </c>
      <c r="K68">
        <f>ABS(G1-J68)</f>
        <v>790.97</v>
      </c>
      <c r="Y68" s="610" t="s">
        <v>15</v>
      </c>
      <c r="Z68" s="41"/>
      <c r="AA68" s="41">
        <f>AA67-Q61</f>
        <v>0</v>
      </c>
    </row>
    <row r="69" spans="7:27" x14ac:dyDescent="0.3">
      <c r="G69" t="s">
        <v>105</v>
      </c>
      <c r="I69" s="374" t="s">
        <v>114</v>
      </c>
      <c r="J69">
        <f>M61*G5+2*N61*G5+3*G5*O61+4*P61*G5+5*Q61*G5</f>
        <v>2137.7925</v>
      </c>
      <c r="K69">
        <f>ABS(G1-J69)</f>
        <v>162.20749999999998</v>
      </c>
      <c r="Y69" s="610" t="s">
        <v>17</v>
      </c>
      <c r="Z69" s="41">
        <v>46</v>
      </c>
      <c r="AA69" s="41">
        <f>Z69-R61</f>
        <v>36</v>
      </c>
    </row>
    <row r="70" spans="7:27" x14ac:dyDescent="0.3">
      <c r="I70" s="118" t="s">
        <v>115</v>
      </c>
      <c r="J70">
        <f>M61*G5+2*N61*G5+3*G5*O61+4*P61*G5+5*Q61*G5+6*R61*G5</f>
        <v>2976.1424999999999</v>
      </c>
      <c r="K70">
        <f>ABS(G1-J70)</f>
        <v>676.14249999999993</v>
      </c>
      <c r="Y70" s="610" t="s">
        <v>19</v>
      </c>
      <c r="Z70" s="41"/>
      <c r="AA70" s="41">
        <f>AA69-S61</f>
        <v>25</v>
      </c>
    </row>
    <row r="71" spans="7:27" x14ac:dyDescent="0.3">
      <c r="Y71" s="610" t="s">
        <v>21</v>
      </c>
      <c r="Z71" s="41"/>
      <c r="AA71" s="41">
        <f>AA70-T61</f>
        <v>16</v>
      </c>
    </row>
    <row r="72" spans="7:27" x14ac:dyDescent="0.3">
      <c r="Y72" s="610" t="s">
        <v>23</v>
      </c>
      <c r="Z72" s="41"/>
      <c r="AA72" s="41">
        <f>AA71-U61</f>
        <v>8</v>
      </c>
    </row>
    <row r="73" spans="7:27" x14ac:dyDescent="0.3">
      <c r="J73" t="s">
        <v>119</v>
      </c>
      <c r="Y73" s="610" t="s">
        <v>28</v>
      </c>
      <c r="Z73" s="41"/>
      <c r="AA73" s="41">
        <f>AA72-V61</f>
        <v>0</v>
      </c>
    </row>
    <row r="74" spans="7:27" x14ac:dyDescent="0.3">
      <c r="J74" t="s">
        <v>75</v>
      </c>
    </row>
    <row r="75" spans="7:27" x14ac:dyDescent="0.3">
      <c r="I75" s="118" t="s">
        <v>101</v>
      </c>
      <c r="J75">
        <v>0</v>
      </c>
      <c r="L75" s="4" t="s">
        <v>93</v>
      </c>
      <c r="M75">
        <f>SUM(R61:V61)</f>
        <v>46</v>
      </c>
      <c r="O75" t="s">
        <v>84</v>
      </c>
      <c r="P75">
        <f>S61*G5+2*G5*T61+3*U61*G5+4*V61*G5</f>
        <v>1187.6624999999999</v>
      </c>
    </row>
    <row r="76" spans="7:27" x14ac:dyDescent="0.3">
      <c r="I76" s="118" t="s">
        <v>102</v>
      </c>
      <c r="J76">
        <f>S61*G5</f>
        <v>153.69749999999999</v>
      </c>
    </row>
    <row r="77" spans="7:27" x14ac:dyDescent="0.3">
      <c r="I77" s="118" t="s">
        <v>103</v>
      </c>
      <c r="J77">
        <f>S61*G5+2*T61*G5</f>
        <v>405.20249999999999</v>
      </c>
    </row>
    <row r="78" spans="7:27" x14ac:dyDescent="0.3">
      <c r="I78" s="118" t="s">
        <v>104</v>
      </c>
      <c r="J78">
        <f>S61*G5+2*T61*G5+3*U61*G5</f>
        <v>740.54250000000002</v>
      </c>
    </row>
    <row r="79" spans="7:27" x14ac:dyDescent="0.3">
      <c r="G79" t="s">
        <v>105</v>
      </c>
      <c r="I79" s="374" t="s">
        <v>106</v>
      </c>
      <c r="J79">
        <f>S61*G5+2*T61*G5+3*U61*G5+4*V61*G5</f>
        <v>1187.6624999999999</v>
      </c>
    </row>
    <row r="81" spans="10:12" x14ac:dyDescent="0.3">
      <c r="J81" s="140" t="s">
        <v>74</v>
      </c>
      <c r="K81">
        <f>G1*2</f>
        <v>4600</v>
      </c>
    </row>
    <row r="82" spans="10:12" x14ac:dyDescent="0.3">
      <c r="J82" s="140" t="s">
        <v>75</v>
      </c>
      <c r="K82">
        <f>SUM(P64+P75)</f>
        <v>3325.4549999999999</v>
      </c>
    </row>
    <row r="83" spans="10:12" x14ac:dyDescent="0.3">
      <c r="J83" s="140" t="s">
        <v>76</v>
      </c>
      <c r="K83">
        <f>SUM(K81:K82)</f>
        <v>7925.4549999999999</v>
      </c>
      <c r="L83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F3E2-8496-4DAB-B1B5-97D41EE6D94C}">
  <dimension ref="A1:AA86"/>
  <sheetViews>
    <sheetView topLeftCell="F28" zoomScale="96" workbookViewId="0">
      <selection activeCell="P23" sqref="P23"/>
    </sheetView>
  </sheetViews>
  <sheetFormatPr defaultColWidth="8.77734375" defaultRowHeight="14.4" x14ac:dyDescent="0.3"/>
  <cols>
    <col min="1" max="1" width="9.109375" bestFit="1" customWidth="1"/>
    <col min="10" max="10" width="20.33203125" bestFit="1" customWidth="1"/>
    <col min="25" max="25" width="11" bestFit="1" customWidth="1"/>
  </cols>
  <sheetData>
    <row r="1" spans="1:27" x14ac:dyDescent="0.3">
      <c r="A1" t="s">
        <v>120</v>
      </c>
      <c r="B1" s="423" t="s">
        <v>120</v>
      </c>
      <c r="C1" s="250" t="s">
        <v>1</v>
      </c>
      <c r="D1" s="250" t="s">
        <v>2</v>
      </c>
      <c r="F1" t="s">
        <v>42</v>
      </c>
      <c r="G1">
        <v>2300</v>
      </c>
      <c r="I1" s="284" t="s">
        <v>40</v>
      </c>
      <c r="J1" s="203" t="s">
        <v>26</v>
      </c>
      <c r="K1" s="257" t="s">
        <v>27</v>
      </c>
      <c r="L1" s="424" t="s">
        <v>5</v>
      </c>
      <c r="M1" s="424" t="s">
        <v>7</v>
      </c>
      <c r="N1" s="424" t="s">
        <v>9</v>
      </c>
      <c r="O1" s="424" t="s">
        <v>11</v>
      </c>
      <c r="P1" s="424" t="s">
        <v>13</v>
      </c>
      <c r="Q1" s="424" t="s">
        <v>15</v>
      </c>
      <c r="R1" s="424" t="s">
        <v>17</v>
      </c>
      <c r="S1" s="424" t="s">
        <v>19</v>
      </c>
      <c r="T1" s="424" t="s">
        <v>21</v>
      </c>
      <c r="U1" s="424" t="s">
        <v>23</v>
      </c>
      <c r="V1" s="424" t="s">
        <v>28</v>
      </c>
    </row>
    <row r="2" spans="1:27" x14ac:dyDescent="0.3">
      <c r="A2">
        <v>406</v>
      </c>
      <c r="B2" s="611" t="s">
        <v>5</v>
      </c>
      <c r="C2" s="423">
        <v>15</v>
      </c>
      <c r="D2" s="423">
        <v>15.26</v>
      </c>
      <c r="F2" t="s">
        <v>3</v>
      </c>
      <c r="G2">
        <v>0.46</v>
      </c>
      <c r="J2" s="283" t="s">
        <v>32</v>
      </c>
      <c r="L2">
        <v>16</v>
      </c>
      <c r="M2">
        <v>16</v>
      </c>
      <c r="N2">
        <v>17</v>
      </c>
      <c r="O2">
        <v>14</v>
      </c>
      <c r="P2">
        <v>15</v>
      </c>
      <c r="Q2">
        <v>16</v>
      </c>
      <c r="R2">
        <v>13</v>
      </c>
      <c r="S2">
        <v>13</v>
      </c>
      <c r="T2">
        <v>12</v>
      </c>
      <c r="U2">
        <v>9</v>
      </c>
      <c r="V2">
        <v>12</v>
      </c>
    </row>
    <row r="3" spans="1:27" x14ac:dyDescent="0.3">
      <c r="A3" s="240">
        <v>0.125</v>
      </c>
      <c r="B3" s="611" t="s">
        <v>7</v>
      </c>
      <c r="C3" s="423">
        <v>16</v>
      </c>
      <c r="D3" s="423">
        <v>15.48</v>
      </c>
      <c r="F3" t="s">
        <v>70</v>
      </c>
      <c r="G3">
        <f>A2/8</f>
        <v>50.75</v>
      </c>
      <c r="J3" s="125" t="s">
        <v>71</v>
      </c>
      <c r="K3">
        <v>16</v>
      </c>
      <c r="L3">
        <v>16</v>
      </c>
      <c r="M3">
        <v>17</v>
      </c>
      <c r="N3">
        <v>14</v>
      </c>
      <c r="O3">
        <v>15</v>
      </c>
      <c r="P3">
        <v>16</v>
      </c>
      <c r="Q3">
        <v>13</v>
      </c>
      <c r="R3">
        <v>13</v>
      </c>
      <c r="S3">
        <v>12</v>
      </c>
      <c r="T3">
        <v>9</v>
      </c>
      <c r="U3">
        <v>12</v>
      </c>
    </row>
    <row r="4" spans="1:27" x14ac:dyDescent="0.3">
      <c r="B4" s="611" t="s">
        <v>9</v>
      </c>
      <c r="C4" s="423">
        <v>18</v>
      </c>
      <c r="D4" s="423">
        <v>16.239999999999998</v>
      </c>
      <c r="F4" t="s">
        <v>72</v>
      </c>
      <c r="G4">
        <f>AVERAGE(D2:D12)</f>
        <v>13.372727272727273</v>
      </c>
      <c r="J4" s="125" t="s">
        <v>40</v>
      </c>
      <c r="K4">
        <v>52</v>
      </c>
      <c r="L4">
        <v>0</v>
      </c>
      <c r="M4">
        <v>0</v>
      </c>
      <c r="N4">
        <v>52</v>
      </c>
      <c r="O4">
        <v>0</v>
      </c>
      <c r="P4">
        <v>0</v>
      </c>
      <c r="Q4">
        <v>52</v>
      </c>
      <c r="R4">
        <v>0</v>
      </c>
      <c r="S4">
        <v>0</v>
      </c>
      <c r="T4">
        <v>0</v>
      </c>
      <c r="U4">
        <v>0</v>
      </c>
      <c r="W4" cm="1">
        <f t="array" ref="W4">SUM(K4:U4/52)</f>
        <v>3</v>
      </c>
    </row>
    <row r="5" spans="1:27" x14ac:dyDescent="0.3">
      <c r="B5" s="611" t="s">
        <v>11</v>
      </c>
      <c r="C5" s="423">
        <v>8</v>
      </c>
      <c r="D5" s="423">
        <v>13.77</v>
      </c>
      <c r="F5" t="s">
        <v>73</v>
      </c>
      <c r="G5">
        <f>G2*G3</f>
        <v>23.345000000000002</v>
      </c>
      <c r="J5" s="125" t="s">
        <v>43</v>
      </c>
      <c r="L5">
        <v>52</v>
      </c>
      <c r="M5">
        <v>0</v>
      </c>
      <c r="N5">
        <v>0</v>
      </c>
      <c r="O5">
        <v>52</v>
      </c>
      <c r="P5">
        <v>0</v>
      </c>
      <c r="Q5">
        <v>0</v>
      </c>
      <c r="R5">
        <v>52</v>
      </c>
      <c r="S5">
        <v>0</v>
      </c>
      <c r="T5">
        <v>0</v>
      </c>
      <c r="U5">
        <v>0</v>
      </c>
      <c r="V5">
        <v>0</v>
      </c>
    </row>
    <row r="6" spans="1:27" x14ac:dyDescent="0.3">
      <c r="B6" s="611" t="s">
        <v>13</v>
      </c>
      <c r="C6" s="423">
        <v>16</v>
      </c>
      <c r="D6" s="423">
        <v>14.44</v>
      </c>
      <c r="F6" t="s">
        <v>38</v>
      </c>
      <c r="G6">
        <f>SQRT(2*G1*G4/G5)</f>
        <v>51.332447362867192</v>
      </c>
      <c r="J6" s="125" t="s">
        <v>45</v>
      </c>
      <c r="L6">
        <f>K4-L2</f>
        <v>36</v>
      </c>
      <c r="M6">
        <f t="shared" ref="M6:V6" si="0">L6+L4-M2</f>
        <v>20</v>
      </c>
      <c r="N6">
        <f t="shared" si="0"/>
        <v>3</v>
      </c>
      <c r="O6">
        <f t="shared" si="0"/>
        <v>41</v>
      </c>
      <c r="P6">
        <f t="shared" si="0"/>
        <v>26</v>
      </c>
      <c r="Q6">
        <f t="shared" si="0"/>
        <v>10</v>
      </c>
      <c r="R6">
        <f t="shared" si="0"/>
        <v>49</v>
      </c>
      <c r="S6">
        <f t="shared" si="0"/>
        <v>36</v>
      </c>
      <c r="T6">
        <f t="shared" si="0"/>
        <v>24</v>
      </c>
      <c r="U6">
        <f t="shared" si="0"/>
        <v>15</v>
      </c>
      <c r="V6">
        <f t="shared" si="0"/>
        <v>3</v>
      </c>
    </row>
    <row r="7" spans="1:27" x14ac:dyDescent="0.3">
      <c r="B7" s="611" t="s">
        <v>15</v>
      </c>
      <c r="C7" s="423">
        <v>20</v>
      </c>
      <c r="D7" s="423">
        <v>16.11</v>
      </c>
      <c r="G7">
        <v>52</v>
      </c>
    </row>
    <row r="8" spans="1:27" x14ac:dyDescent="0.3">
      <c r="B8" s="611" t="s">
        <v>17</v>
      </c>
      <c r="C8" s="423">
        <v>4</v>
      </c>
      <c r="D8" s="423">
        <v>12.47</v>
      </c>
      <c r="J8" s="125" t="s">
        <v>74</v>
      </c>
      <c r="K8">
        <f>3*G1</f>
        <v>6900</v>
      </c>
    </row>
    <row r="9" spans="1:27" x14ac:dyDescent="0.3">
      <c r="B9" s="611" t="s">
        <v>19</v>
      </c>
      <c r="C9" s="423">
        <v>12</v>
      </c>
      <c r="D9" s="423">
        <v>12.33</v>
      </c>
      <c r="J9" s="125" t="s">
        <v>75</v>
      </c>
      <c r="K9" cm="1">
        <f t="array" ref="K9">SUM(L6:V6*G5)</f>
        <v>6139.7350000000006</v>
      </c>
    </row>
    <row r="10" spans="1:27" x14ac:dyDescent="0.3">
      <c r="B10" s="611" t="s">
        <v>21</v>
      </c>
      <c r="C10" s="423">
        <v>8</v>
      </c>
      <c r="D10" s="423">
        <v>11.03</v>
      </c>
      <c r="J10" s="125" t="s">
        <v>76</v>
      </c>
      <c r="K10">
        <f>SUM(K8:K9)</f>
        <v>13039.735000000001</v>
      </c>
    </row>
    <row r="11" spans="1:27" x14ac:dyDescent="0.3">
      <c r="B11" s="611" t="s">
        <v>23</v>
      </c>
      <c r="C11" s="423">
        <v>4</v>
      </c>
      <c r="D11" s="423">
        <v>8.92</v>
      </c>
    </row>
    <row r="12" spans="1:27" x14ac:dyDescent="0.3">
      <c r="B12" s="611" t="s">
        <v>28</v>
      </c>
      <c r="C12" s="423">
        <v>16</v>
      </c>
      <c r="D12" s="423">
        <v>11.05</v>
      </c>
    </row>
    <row r="13" spans="1:27" x14ac:dyDescent="0.3">
      <c r="J13" s="203" t="s">
        <v>77</v>
      </c>
      <c r="K13" s="262" t="s">
        <v>78</v>
      </c>
      <c r="L13">
        <v>16</v>
      </c>
      <c r="M13">
        <v>16</v>
      </c>
      <c r="N13">
        <v>17</v>
      </c>
      <c r="O13">
        <v>14</v>
      </c>
      <c r="P13">
        <v>15</v>
      </c>
      <c r="Q13">
        <v>16</v>
      </c>
      <c r="R13">
        <v>13</v>
      </c>
      <c r="S13">
        <v>13</v>
      </c>
      <c r="T13">
        <v>12</v>
      </c>
      <c r="U13">
        <v>9</v>
      </c>
      <c r="V13">
        <v>12</v>
      </c>
    </row>
    <row r="14" spans="1:27" x14ac:dyDescent="0.3">
      <c r="J14" t="s">
        <v>79</v>
      </c>
      <c r="Y14" s="615" t="s">
        <v>68</v>
      </c>
      <c r="Z14" s="21" t="s">
        <v>80</v>
      </c>
      <c r="AA14" s="21" t="s">
        <v>81</v>
      </c>
    </row>
    <row r="15" spans="1:27" x14ac:dyDescent="0.3">
      <c r="J15" s="200" t="s">
        <v>82</v>
      </c>
      <c r="K15" s="200">
        <f>G1</f>
        <v>2300</v>
      </c>
      <c r="L15" s="4" t="s">
        <v>83</v>
      </c>
      <c r="M15" s="4">
        <f>SUM(L13:O13)</f>
        <v>63</v>
      </c>
      <c r="N15" s="4"/>
      <c r="O15" s="4" t="s">
        <v>84</v>
      </c>
      <c r="P15" s="4">
        <f>M13*G5+2*N13*G5+3*O13*G5</f>
        <v>2147.7400000000002</v>
      </c>
      <c r="Q15" s="4"/>
      <c r="R15" s="4"/>
      <c r="S15" s="4"/>
      <c r="T15" s="4"/>
      <c r="U15" s="4"/>
      <c r="V15" s="4"/>
      <c r="Y15" s="611" t="s">
        <v>5</v>
      </c>
      <c r="Z15" s="21">
        <v>63</v>
      </c>
      <c r="AA15" s="21">
        <f>Z15-L13</f>
        <v>47</v>
      </c>
    </row>
    <row r="16" spans="1:27" x14ac:dyDescent="0.3">
      <c r="J16" s="200" t="s">
        <v>85</v>
      </c>
      <c r="K16" s="200">
        <f>(G1+G5*M13)/2</f>
        <v>1336.76</v>
      </c>
      <c r="Y16" s="611" t="s">
        <v>7</v>
      </c>
      <c r="Z16" s="21"/>
      <c r="AA16" s="21">
        <f>AA15-M13</f>
        <v>31</v>
      </c>
    </row>
    <row r="17" spans="8:27" x14ac:dyDescent="0.3">
      <c r="J17" s="260" t="s">
        <v>86</v>
      </c>
      <c r="K17" s="260">
        <f>(G1+M13*G5+N13*G5*2)/3</f>
        <v>1155.75</v>
      </c>
      <c r="Y17" s="611" t="s">
        <v>9</v>
      </c>
      <c r="Z17" s="21"/>
      <c r="AA17" s="21">
        <f>AA16-N13</f>
        <v>14</v>
      </c>
    </row>
    <row r="18" spans="8:27" x14ac:dyDescent="0.3">
      <c r="J18" s="200" t="s">
        <v>87</v>
      </c>
      <c r="K18" s="200">
        <f>(G1+M13*G5+2*N13*G5+3*O13*G5)/4</f>
        <v>1111.9349999999999</v>
      </c>
      <c r="Q18" s="4"/>
      <c r="Y18" s="611" t="s">
        <v>11</v>
      </c>
      <c r="Z18" s="21"/>
      <c r="AA18" s="21">
        <f>AA17-O13</f>
        <v>0</v>
      </c>
    </row>
    <row r="19" spans="8:27" x14ac:dyDescent="0.3">
      <c r="H19" t="s">
        <v>97</v>
      </c>
      <c r="I19" t="s">
        <v>89</v>
      </c>
      <c r="J19" s="200" t="s">
        <v>90</v>
      </c>
      <c r="K19" s="200">
        <f>(G1+M13*G5+2*N13*G5+3*O13*G5+4*P13*G5)/5</f>
        <v>1169.6879999999999</v>
      </c>
      <c r="Q19" s="4"/>
      <c r="Y19" s="611" t="s">
        <v>13</v>
      </c>
      <c r="Z19" s="21">
        <v>57</v>
      </c>
      <c r="AA19" s="21">
        <f>Z19-P13</f>
        <v>42</v>
      </c>
    </row>
    <row r="20" spans="8:27" x14ac:dyDescent="0.3">
      <c r="Q20" s="4"/>
      <c r="Y20" s="611" t="s">
        <v>15</v>
      </c>
      <c r="Z20" s="21"/>
      <c r="AA20" s="21">
        <f>AA19-Q13</f>
        <v>26</v>
      </c>
    </row>
    <row r="21" spans="8:27" x14ac:dyDescent="0.3">
      <c r="J21" t="s">
        <v>98</v>
      </c>
      <c r="Q21" s="4"/>
      <c r="Y21" s="611" t="s">
        <v>17</v>
      </c>
      <c r="Z21" s="21"/>
      <c r="AA21" s="21">
        <f>AA20-R13</f>
        <v>13</v>
      </c>
    </row>
    <row r="22" spans="8:27" x14ac:dyDescent="0.3">
      <c r="J22" s="256" t="s">
        <v>82</v>
      </c>
      <c r="K22" s="200">
        <f>G1</f>
        <v>2300</v>
      </c>
      <c r="L22" s="4" t="s">
        <v>93</v>
      </c>
      <c r="M22">
        <f>SUM(P13:S13)</f>
        <v>57</v>
      </c>
      <c r="O22" t="s">
        <v>84</v>
      </c>
      <c r="P22">
        <f>Q13*G5+2*R13*G5+3*S13*G5</f>
        <v>1890.9450000000002</v>
      </c>
      <c r="Q22" s="4"/>
      <c r="Y22" s="611" t="s">
        <v>19</v>
      </c>
      <c r="Z22" s="21"/>
      <c r="AA22" s="21">
        <f>AA21-S13</f>
        <v>0</v>
      </c>
    </row>
    <row r="23" spans="8:27" x14ac:dyDescent="0.3">
      <c r="J23" s="256" t="s">
        <v>85</v>
      </c>
      <c r="K23" s="200">
        <f>(G1+Q13*G5)/2</f>
        <v>1336.76</v>
      </c>
      <c r="Q23" s="4"/>
      <c r="Y23" s="611" t="s">
        <v>21</v>
      </c>
      <c r="Z23" s="21">
        <v>33</v>
      </c>
      <c r="AA23" s="21">
        <f>Z23-T13</f>
        <v>21</v>
      </c>
    </row>
    <row r="24" spans="8:27" x14ac:dyDescent="0.3">
      <c r="J24" s="256" t="s">
        <v>86</v>
      </c>
      <c r="K24" s="200">
        <f>(G1+Q13*G5+2*R13*G5)/3</f>
        <v>1093.4966666666667</v>
      </c>
      <c r="Q24" s="4"/>
      <c r="Y24" s="611" t="s">
        <v>23</v>
      </c>
      <c r="Z24" s="21"/>
      <c r="AA24" s="21">
        <f>AA23-U13</f>
        <v>12</v>
      </c>
    </row>
    <row r="25" spans="8:27" x14ac:dyDescent="0.3">
      <c r="J25" s="282" t="s">
        <v>87</v>
      </c>
      <c r="K25" s="260">
        <f>(G1+Q13*G5+2*R13*G5+3*S13*G5)/4</f>
        <v>1047.7362499999999</v>
      </c>
      <c r="Q25" s="4"/>
      <c r="Y25" s="611" t="s">
        <v>28</v>
      </c>
      <c r="Z25" s="21"/>
      <c r="AA25" s="21">
        <f>AA24-V13</f>
        <v>0</v>
      </c>
    </row>
    <row r="26" spans="8:27" x14ac:dyDescent="0.3">
      <c r="H26" t="s">
        <v>97</v>
      </c>
      <c r="I26" t="s">
        <v>89</v>
      </c>
      <c r="J26" s="200" t="s">
        <v>90</v>
      </c>
      <c r="K26" s="200">
        <f>(G1+Q13*G5+2*R13*G5+3*S13*G5+4*T13*G5)/5</f>
        <v>1062.3009999999999</v>
      </c>
      <c r="Q26" s="4"/>
    </row>
    <row r="27" spans="8:27" x14ac:dyDescent="0.3">
      <c r="Q27" s="4"/>
    </row>
    <row r="28" spans="8:27" x14ac:dyDescent="0.3">
      <c r="J28" t="s">
        <v>99</v>
      </c>
      <c r="Q28" s="4"/>
    </row>
    <row r="29" spans="8:27" x14ac:dyDescent="0.3">
      <c r="J29" s="256" t="s">
        <v>82</v>
      </c>
      <c r="K29" s="200">
        <v>2300</v>
      </c>
      <c r="L29" s="4" t="s">
        <v>95</v>
      </c>
      <c r="M29">
        <f>SUM(T13:V13)</f>
        <v>33</v>
      </c>
      <c r="O29" t="s">
        <v>84</v>
      </c>
      <c r="P29">
        <f>U13*G5+2*G5*V13</f>
        <v>770.3850000000001</v>
      </c>
    </row>
    <row r="30" spans="8:27" x14ac:dyDescent="0.3">
      <c r="J30" s="256" t="s">
        <v>85</v>
      </c>
      <c r="K30" s="200">
        <f>(G1+G5*U13)/2</f>
        <v>1255.0525</v>
      </c>
    </row>
    <row r="31" spans="8:27" x14ac:dyDescent="0.3">
      <c r="J31" s="256" t="s">
        <v>86</v>
      </c>
      <c r="K31" s="200">
        <f>(G1+G5*M13+2*V13*G5)/3</f>
        <v>1077.9333333333334</v>
      </c>
    </row>
    <row r="33" spans="8:27" x14ac:dyDescent="0.3">
      <c r="J33" s="258" t="s">
        <v>74</v>
      </c>
      <c r="K33">
        <f>3*G1</f>
        <v>6900</v>
      </c>
    </row>
    <row r="34" spans="8:27" x14ac:dyDescent="0.3">
      <c r="J34" s="258" t="s">
        <v>75</v>
      </c>
      <c r="K34">
        <f>SUM(P15,P22,P29)</f>
        <v>4809.0700000000006</v>
      </c>
    </row>
    <row r="35" spans="8:27" x14ac:dyDescent="0.3">
      <c r="J35" s="258" t="s">
        <v>76</v>
      </c>
      <c r="K35">
        <f>SUM(K33:K34)</f>
        <v>11709.07</v>
      </c>
    </row>
    <row r="37" spans="8:27" x14ac:dyDescent="0.3">
      <c r="J37" s="203" t="s">
        <v>96</v>
      </c>
      <c r="K37" s="262" t="s">
        <v>78</v>
      </c>
      <c r="L37">
        <v>16</v>
      </c>
      <c r="M37">
        <v>16</v>
      </c>
      <c r="N37">
        <v>17</v>
      </c>
      <c r="O37">
        <v>14</v>
      </c>
      <c r="P37">
        <v>15</v>
      </c>
      <c r="Q37">
        <v>16</v>
      </c>
      <c r="R37">
        <v>13</v>
      </c>
      <c r="S37">
        <v>13</v>
      </c>
      <c r="T37">
        <v>12</v>
      </c>
      <c r="U37">
        <v>9</v>
      </c>
      <c r="V37">
        <v>12</v>
      </c>
    </row>
    <row r="38" spans="8:27" x14ac:dyDescent="0.3">
      <c r="J38" t="s">
        <v>79</v>
      </c>
      <c r="Y38" s="615" t="s">
        <v>68</v>
      </c>
      <c r="Z38" s="21" t="s">
        <v>80</v>
      </c>
      <c r="AA38" s="21" t="s">
        <v>81</v>
      </c>
    </row>
    <row r="39" spans="8:27" x14ac:dyDescent="0.3">
      <c r="J39" s="200" t="s">
        <v>82</v>
      </c>
      <c r="K39">
        <f>G1/L37</f>
        <v>143.75</v>
      </c>
      <c r="L39" t="s">
        <v>83</v>
      </c>
      <c r="M39">
        <f>SUM(L37:O37)</f>
        <v>63</v>
      </c>
      <c r="O39" t="s">
        <v>84</v>
      </c>
      <c r="P39">
        <f>M37*G5+2*G5*N37+3*O37*G5</f>
        <v>2147.7400000000002</v>
      </c>
      <c r="Y39" s="611" t="s">
        <v>5</v>
      </c>
      <c r="Z39" s="21">
        <v>63</v>
      </c>
      <c r="AA39" s="21">
        <f>Z39-L37</f>
        <v>47</v>
      </c>
    </row>
    <row r="40" spans="8:27" x14ac:dyDescent="0.3">
      <c r="J40" s="200" t="s">
        <v>85</v>
      </c>
      <c r="K40">
        <f>(G1+G5*M37)/(L37+M37)</f>
        <v>83.547499999999999</v>
      </c>
      <c r="Y40" s="611" t="s">
        <v>7</v>
      </c>
      <c r="Z40" s="21"/>
      <c r="AA40" s="21">
        <f>AA39-M37</f>
        <v>31</v>
      </c>
    </row>
    <row r="41" spans="8:27" x14ac:dyDescent="0.3">
      <c r="J41" s="200" t="s">
        <v>86</v>
      </c>
      <c r="K41">
        <f>(G1+M37*G5+2*N37*G5)/(L37+M37+N37)</f>
        <v>70.760204081632651</v>
      </c>
      <c r="Y41" s="611" t="s">
        <v>9</v>
      </c>
      <c r="Z41" s="21"/>
      <c r="AA41" s="21">
        <f>AA40-N37</f>
        <v>14</v>
      </c>
    </row>
    <row r="42" spans="8:27" x14ac:dyDescent="0.3">
      <c r="J42" s="260" t="s">
        <v>87</v>
      </c>
      <c r="K42">
        <f>(G1+M37*G5+2*N37*G5+3*O37*G5)/(L37+M37+N37+O37)</f>
        <v>70.59904761904761</v>
      </c>
      <c r="Y42" s="611" t="s">
        <v>11</v>
      </c>
      <c r="Z42" s="21"/>
      <c r="AA42" s="21">
        <f>AA41-O37</f>
        <v>0</v>
      </c>
    </row>
    <row r="43" spans="8:27" x14ac:dyDescent="0.3">
      <c r="H43" t="s">
        <v>97</v>
      </c>
      <c r="I43" t="s">
        <v>89</v>
      </c>
      <c r="J43" s="200" t="s">
        <v>90</v>
      </c>
      <c r="K43">
        <f>(G1+M37*G5+2*N37*G5+3*O37*G5+4*P37*G5)/(L37+M37+N37+O37+P37)</f>
        <v>74.97999999999999</v>
      </c>
      <c r="Y43" s="611" t="s">
        <v>13</v>
      </c>
      <c r="Z43" s="21">
        <v>57</v>
      </c>
      <c r="AA43" s="21">
        <f>Z43-P37</f>
        <v>42</v>
      </c>
    </row>
    <row r="44" spans="8:27" x14ac:dyDescent="0.3">
      <c r="Y44" s="611" t="s">
        <v>15</v>
      </c>
      <c r="Z44" s="21"/>
      <c r="AA44" s="21">
        <f>AA43-Q37</f>
        <v>26</v>
      </c>
    </row>
    <row r="45" spans="8:27" x14ac:dyDescent="0.3">
      <c r="J45" t="s">
        <v>98</v>
      </c>
      <c r="Y45" s="611" t="s">
        <v>17</v>
      </c>
      <c r="Z45" s="21"/>
      <c r="AA45" s="21">
        <f>AA44-R37</f>
        <v>13</v>
      </c>
    </row>
    <row r="46" spans="8:27" x14ac:dyDescent="0.3">
      <c r="J46" s="200" t="s">
        <v>82</v>
      </c>
      <c r="K46">
        <f>G1/P37</f>
        <v>153.33333333333334</v>
      </c>
      <c r="L46" s="4" t="s">
        <v>93</v>
      </c>
      <c r="M46">
        <f>SUM(P37:S37)</f>
        <v>57</v>
      </c>
      <c r="O46" t="s">
        <v>84</v>
      </c>
      <c r="P46">
        <f>Q37*G5+2*G5*R37+3*G5*S37</f>
        <v>1890.9450000000002</v>
      </c>
      <c r="Y46" s="611" t="s">
        <v>19</v>
      </c>
      <c r="Z46" s="21"/>
      <c r="AA46" s="21">
        <f>AA45-S37</f>
        <v>0</v>
      </c>
    </row>
    <row r="47" spans="8:27" x14ac:dyDescent="0.3">
      <c r="J47" s="200" t="s">
        <v>85</v>
      </c>
      <c r="K47">
        <f>(G1+G5*Q37)/(P37+Q37)</f>
        <v>86.242580645161283</v>
      </c>
      <c r="Y47" s="611" t="s">
        <v>21</v>
      </c>
      <c r="Z47" s="21">
        <v>33</v>
      </c>
      <c r="AA47" s="21">
        <f>Z47-T37</f>
        <v>21</v>
      </c>
    </row>
    <row r="48" spans="8:27" x14ac:dyDescent="0.3">
      <c r="J48" s="200" t="s">
        <v>86</v>
      </c>
      <c r="K48">
        <f>(G1+G5*Q37+2*R37*G5)/(P37+Q37+R37)</f>
        <v>74.5565909090909</v>
      </c>
      <c r="Y48" s="611" t="s">
        <v>23</v>
      </c>
      <c r="Z48" s="21"/>
      <c r="AA48" s="21">
        <f>AA47-U37</f>
        <v>12</v>
      </c>
    </row>
    <row r="49" spans="8:27" x14ac:dyDescent="0.3">
      <c r="J49" s="260" t="s">
        <v>87</v>
      </c>
      <c r="K49">
        <f>(G1+G5*Q37+2*R37*G5+3*S37*G5)/(P37+Q37+R37+S37)</f>
        <v>73.525350877192977</v>
      </c>
      <c r="Y49" s="611" t="s">
        <v>28</v>
      </c>
      <c r="Z49" s="21"/>
      <c r="AA49" s="21">
        <f>AA48-V37</f>
        <v>0</v>
      </c>
    </row>
    <row r="50" spans="8:27" x14ac:dyDescent="0.3">
      <c r="H50" t="s">
        <v>97</v>
      </c>
      <c r="I50" t="s">
        <v>89</v>
      </c>
      <c r="J50" s="200" t="s">
        <v>90</v>
      </c>
      <c r="K50">
        <f>(G1+G5*Q37+2*R37*G5+3*S37*G5+4*T37*G5)/(P37+Q37+R37+S37+T37)</f>
        <v>76.978333333333339</v>
      </c>
    </row>
    <row r="52" spans="8:27" x14ac:dyDescent="0.3">
      <c r="J52" t="s">
        <v>99</v>
      </c>
    </row>
    <row r="53" spans="8:27" x14ac:dyDescent="0.3">
      <c r="J53" s="200" t="s">
        <v>82</v>
      </c>
      <c r="K53">
        <f>G1/T37</f>
        <v>191.66666666666666</v>
      </c>
      <c r="L53" s="4" t="s">
        <v>95</v>
      </c>
      <c r="M53">
        <f>SUM(T37:V37)</f>
        <v>33</v>
      </c>
      <c r="O53" t="s">
        <v>84</v>
      </c>
      <c r="P53">
        <f>U37*G5+2*V37*G5</f>
        <v>770.3850000000001</v>
      </c>
    </row>
    <row r="54" spans="8:27" x14ac:dyDescent="0.3">
      <c r="J54" s="200" t="s">
        <v>85</v>
      </c>
      <c r="K54">
        <f>(G1+U37*G5)/(T37+U37)</f>
        <v>119.52880952380953</v>
      </c>
    </row>
    <row r="55" spans="8:27" x14ac:dyDescent="0.3">
      <c r="J55" s="200" t="s">
        <v>86</v>
      </c>
      <c r="K55">
        <f>(G1+U37*G5+2*V37*G5)/(T37+U37+V37)</f>
        <v>93.041969696969701</v>
      </c>
    </row>
    <row r="57" spans="8:27" x14ac:dyDescent="0.3">
      <c r="J57" s="258" t="s">
        <v>74</v>
      </c>
      <c r="K57">
        <f>G1*3</f>
        <v>6900</v>
      </c>
    </row>
    <row r="58" spans="8:27" x14ac:dyDescent="0.3">
      <c r="J58" s="258" t="s">
        <v>75</v>
      </c>
      <c r="K58">
        <f>SUM(P39+P46+P53)</f>
        <v>4809.0700000000006</v>
      </c>
    </row>
    <row r="59" spans="8:27" x14ac:dyDescent="0.3">
      <c r="J59" s="258" t="s">
        <v>76</v>
      </c>
      <c r="K59">
        <f>SUM(K57:K58)</f>
        <v>11709.07</v>
      </c>
    </row>
    <row r="61" spans="8:27" x14ac:dyDescent="0.3">
      <c r="J61" s="203" t="s">
        <v>100</v>
      </c>
      <c r="K61" s="262" t="s">
        <v>78</v>
      </c>
      <c r="L61">
        <v>16</v>
      </c>
      <c r="M61">
        <v>16</v>
      </c>
      <c r="N61">
        <v>17</v>
      </c>
      <c r="O61">
        <v>14</v>
      </c>
      <c r="P61">
        <v>15</v>
      </c>
      <c r="Q61">
        <v>16</v>
      </c>
      <c r="R61">
        <v>13</v>
      </c>
      <c r="S61">
        <v>13</v>
      </c>
      <c r="T61">
        <v>12</v>
      </c>
      <c r="U61">
        <v>9</v>
      </c>
      <c r="V61">
        <v>12</v>
      </c>
    </row>
    <row r="62" spans="8:27" x14ac:dyDescent="0.3">
      <c r="J62" t="s">
        <v>79</v>
      </c>
      <c r="Y62" s="615" t="s">
        <v>68</v>
      </c>
      <c r="Z62" s="21" t="s">
        <v>80</v>
      </c>
      <c r="AA62" s="21" t="s">
        <v>81</v>
      </c>
    </row>
    <row r="63" spans="8:27" x14ac:dyDescent="0.3">
      <c r="J63" t="s">
        <v>75</v>
      </c>
      <c r="Y63" s="611" t="s">
        <v>5</v>
      </c>
      <c r="Z63" s="21">
        <v>63</v>
      </c>
      <c r="AA63" s="21">
        <f>Z63-L61</f>
        <v>47</v>
      </c>
    </row>
    <row r="64" spans="8:27" x14ac:dyDescent="0.3">
      <c r="I64" s="207" t="s">
        <v>101</v>
      </c>
      <c r="J64">
        <v>0</v>
      </c>
      <c r="L64" t="s">
        <v>83</v>
      </c>
      <c r="M64">
        <f>SUM(L61:O61)</f>
        <v>63</v>
      </c>
      <c r="O64" t="s">
        <v>84</v>
      </c>
      <c r="P64">
        <f>M61*G5+2*G5*N61+3*O61*G5</f>
        <v>2147.7400000000002</v>
      </c>
      <c r="Y64" s="611" t="s">
        <v>7</v>
      </c>
      <c r="Z64" s="21"/>
      <c r="AA64" s="21">
        <f>AA63-M61</f>
        <v>31</v>
      </c>
    </row>
    <row r="65" spans="7:27" x14ac:dyDescent="0.3">
      <c r="I65" s="207" t="s">
        <v>102</v>
      </c>
      <c r="J65">
        <f>M61*G5</f>
        <v>373.52000000000004</v>
      </c>
      <c r="Y65" s="611" t="s">
        <v>9</v>
      </c>
      <c r="Z65" s="21"/>
      <c r="AA65" s="21">
        <f>AA64-N61</f>
        <v>14</v>
      </c>
    </row>
    <row r="66" spans="7:27" x14ac:dyDescent="0.3">
      <c r="I66" s="207" t="s">
        <v>103</v>
      </c>
      <c r="J66">
        <f>M61*G5+2*N61*G5</f>
        <v>1167.2500000000002</v>
      </c>
      <c r="Y66" s="611" t="s">
        <v>11</v>
      </c>
      <c r="Z66" s="21"/>
      <c r="AA66" s="21">
        <f>AA65-O61</f>
        <v>0</v>
      </c>
    </row>
    <row r="67" spans="7:27" x14ac:dyDescent="0.3">
      <c r="G67" t="s">
        <v>105</v>
      </c>
      <c r="I67" s="114" t="s">
        <v>104</v>
      </c>
      <c r="J67">
        <f>M61*G5+2*N61*G5+3*G5*O61</f>
        <v>2147.7400000000002</v>
      </c>
      <c r="K67">
        <f>G1-J67</f>
        <v>152.25999999999976</v>
      </c>
      <c r="Y67" s="611" t="s">
        <v>13</v>
      </c>
      <c r="Z67" s="21">
        <v>57</v>
      </c>
      <c r="AA67" s="21">
        <f>Z67-P61</f>
        <v>42</v>
      </c>
    </row>
    <row r="68" spans="7:27" x14ac:dyDescent="0.3">
      <c r="I68" s="207" t="s">
        <v>106</v>
      </c>
      <c r="J68">
        <f>M61*G5+2*N61*G5+3*G5*O61+4*P61*G5</f>
        <v>3548.4400000000005</v>
      </c>
      <c r="K68">
        <f>ABS(G1-J68)</f>
        <v>1248.4400000000005</v>
      </c>
      <c r="Y68" s="611" t="s">
        <v>15</v>
      </c>
      <c r="Z68" s="21"/>
      <c r="AA68" s="21">
        <f>AA67-Q61</f>
        <v>26</v>
      </c>
    </row>
    <row r="69" spans="7:27" x14ac:dyDescent="0.3">
      <c r="Y69" s="611" t="s">
        <v>17</v>
      </c>
      <c r="Z69" s="21"/>
      <c r="AA69" s="21">
        <f>AA68-R61</f>
        <v>13</v>
      </c>
    </row>
    <row r="70" spans="7:27" x14ac:dyDescent="0.3">
      <c r="J70" t="s">
        <v>98</v>
      </c>
      <c r="Y70" s="611" t="s">
        <v>19</v>
      </c>
      <c r="Z70" s="21"/>
      <c r="AA70" s="21">
        <f>AA69-S61</f>
        <v>0</v>
      </c>
    </row>
    <row r="71" spans="7:27" x14ac:dyDescent="0.3">
      <c r="J71" t="s">
        <v>75</v>
      </c>
      <c r="Y71" s="611" t="s">
        <v>21</v>
      </c>
      <c r="Z71" s="21">
        <v>33</v>
      </c>
      <c r="AA71" s="21">
        <f>Z71-T61</f>
        <v>21</v>
      </c>
    </row>
    <row r="72" spans="7:27" x14ac:dyDescent="0.3">
      <c r="I72" s="207" t="s">
        <v>101</v>
      </c>
      <c r="J72">
        <v>0</v>
      </c>
      <c r="L72" s="4" t="s">
        <v>93</v>
      </c>
      <c r="M72">
        <f>SUM(P61:S61)</f>
        <v>57</v>
      </c>
      <c r="O72" t="s">
        <v>84</v>
      </c>
      <c r="P72">
        <f>Q61*G5+2*G5*R61+3*S61*G5</f>
        <v>1890.9450000000002</v>
      </c>
      <c r="Y72" s="611" t="s">
        <v>23</v>
      </c>
      <c r="Z72" s="21"/>
      <c r="AA72" s="21">
        <f>AA71-U61</f>
        <v>12</v>
      </c>
    </row>
    <row r="73" spans="7:27" x14ac:dyDescent="0.3">
      <c r="I73" s="207" t="s">
        <v>102</v>
      </c>
      <c r="J73">
        <f>Q61*G5</f>
        <v>373.52000000000004</v>
      </c>
      <c r="Y73" s="611" t="s">
        <v>28</v>
      </c>
      <c r="Z73" s="21"/>
      <c r="AA73" s="21">
        <f>AA72-V61</f>
        <v>0</v>
      </c>
    </row>
    <row r="74" spans="7:27" x14ac:dyDescent="0.3">
      <c r="I74" s="207" t="s">
        <v>103</v>
      </c>
      <c r="J74">
        <f>Q61*G5+2*R61*G5</f>
        <v>980.49</v>
      </c>
    </row>
    <row r="75" spans="7:27" x14ac:dyDescent="0.3">
      <c r="G75" t="s">
        <v>105</v>
      </c>
      <c r="I75" s="114" t="s">
        <v>104</v>
      </c>
      <c r="J75">
        <f>Q61*G5+2*R61*G5+3*S61*G5</f>
        <v>1890.9450000000002</v>
      </c>
      <c r="K75">
        <f>ABS(J75-G1)</f>
        <v>409.05499999999984</v>
      </c>
    </row>
    <row r="76" spans="7:27" x14ac:dyDescent="0.3">
      <c r="I76" s="207" t="s">
        <v>106</v>
      </c>
      <c r="J76">
        <f>Q61*G5+2*R61*G5+3*S61*G5+4*T61*G5</f>
        <v>3011.5050000000001</v>
      </c>
      <c r="K76">
        <f>ABS(J76-G1)</f>
        <v>711.50500000000011</v>
      </c>
    </row>
    <row r="78" spans="7:27" x14ac:dyDescent="0.3">
      <c r="J78" t="s">
        <v>99</v>
      </c>
    </row>
    <row r="79" spans="7:27" x14ac:dyDescent="0.3">
      <c r="J79" t="s">
        <v>75</v>
      </c>
    </row>
    <row r="80" spans="7:27" x14ac:dyDescent="0.3">
      <c r="I80" s="207" t="s">
        <v>101</v>
      </c>
      <c r="J80">
        <v>0</v>
      </c>
      <c r="L80" s="4" t="s">
        <v>95</v>
      </c>
      <c r="M80">
        <f>SUM(T61:V61)</f>
        <v>33</v>
      </c>
      <c r="O80" t="s">
        <v>84</v>
      </c>
      <c r="P80">
        <f>U61*G5+2*V61*G5</f>
        <v>770.3850000000001</v>
      </c>
    </row>
    <row r="81" spans="7:11" x14ac:dyDescent="0.3">
      <c r="I81" s="207" t="s">
        <v>102</v>
      </c>
      <c r="J81">
        <f>U61*G5</f>
        <v>210.10500000000002</v>
      </c>
    </row>
    <row r="82" spans="7:11" x14ac:dyDescent="0.3">
      <c r="G82" t="s">
        <v>105</v>
      </c>
      <c r="I82" s="114" t="s">
        <v>103</v>
      </c>
      <c r="J82">
        <f>U61*G5+2*V61*G5</f>
        <v>770.3850000000001</v>
      </c>
    </row>
    <row r="84" spans="7:11" x14ac:dyDescent="0.3">
      <c r="J84" s="258" t="s">
        <v>74</v>
      </c>
      <c r="K84">
        <f>G1*3</f>
        <v>6900</v>
      </c>
    </row>
    <row r="85" spans="7:11" x14ac:dyDescent="0.3">
      <c r="J85" s="258" t="s">
        <v>75</v>
      </c>
      <c r="K85">
        <f>SUM(P64+P72+P80)</f>
        <v>4809.0700000000006</v>
      </c>
    </row>
    <row r="86" spans="7:11" x14ac:dyDescent="0.3">
      <c r="J86" s="258" t="s">
        <v>76</v>
      </c>
      <c r="K86">
        <f>SUM(K84:K85)</f>
        <v>11709.07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40CF-9902-4840-8FB1-43A5EF00758B}">
  <dimension ref="A1:T69"/>
  <sheetViews>
    <sheetView topLeftCell="C1" zoomScale="73" workbookViewId="0">
      <selection activeCell="T6" sqref="T6"/>
    </sheetView>
  </sheetViews>
  <sheetFormatPr defaultColWidth="8.77734375" defaultRowHeight="14.4" x14ac:dyDescent="0.3"/>
  <cols>
    <col min="7" max="7" width="20" customWidth="1"/>
    <col min="8" max="8" width="19.44140625" customWidth="1"/>
    <col min="10" max="10" width="10.6640625" customWidth="1"/>
    <col min="11" max="11" width="7.33203125" customWidth="1"/>
    <col min="14" max="14" width="12.44140625" bestFit="1" customWidth="1"/>
    <col min="15" max="15" width="11.33203125" customWidth="1"/>
    <col min="18" max="18" width="11.109375" customWidth="1"/>
  </cols>
  <sheetData>
    <row r="1" spans="1:20" x14ac:dyDescent="0.3">
      <c r="A1" s="122" t="s">
        <v>121</v>
      </c>
      <c r="B1" s="123" t="s">
        <v>1</v>
      </c>
      <c r="C1" s="122" t="s">
        <v>2</v>
      </c>
      <c r="E1" s="369" t="s">
        <v>122</v>
      </c>
      <c r="F1" s="115">
        <v>2300</v>
      </c>
      <c r="G1" s="373" t="s">
        <v>123</v>
      </c>
      <c r="H1" s="137" t="s">
        <v>26</v>
      </c>
      <c r="I1" s="128" t="s">
        <v>27</v>
      </c>
      <c r="J1" s="129" t="s">
        <v>5</v>
      </c>
      <c r="K1" s="129" t="s">
        <v>7</v>
      </c>
      <c r="L1" s="129" t="s">
        <v>9</v>
      </c>
      <c r="M1" s="129" t="s">
        <v>11</v>
      </c>
      <c r="N1" s="129" t="s">
        <v>13</v>
      </c>
      <c r="O1" s="129" t="s">
        <v>15</v>
      </c>
      <c r="P1" s="129" t="s">
        <v>17</v>
      </c>
      <c r="Q1" s="129" t="s">
        <v>19</v>
      </c>
      <c r="R1" s="129" t="s">
        <v>21</v>
      </c>
      <c r="S1" s="129" t="s">
        <v>23</v>
      </c>
      <c r="T1" s="129" t="s">
        <v>28</v>
      </c>
    </row>
    <row r="2" spans="1:20" x14ac:dyDescent="0.3">
      <c r="A2" s="127" t="s">
        <v>5</v>
      </c>
      <c r="B2" s="122">
        <v>6</v>
      </c>
      <c r="C2" s="124">
        <v>8.3333333333333339</v>
      </c>
      <c r="D2" s="371">
        <v>8</v>
      </c>
      <c r="E2" s="370" t="s">
        <v>3</v>
      </c>
      <c r="F2" s="115">
        <v>0.46</v>
      </c>
      <c r="H2" s="128" t="s">
        <v>32</v>
      </c>
      <c r="I2" s="130"/>
      <c r="J2" s="132">
        <v>8</v>
      </c>
      <c r="K2" s="133">
        <v>6</v>
      </c>
      <c r="L2" s="133">
        <v>5</v>
      </c>
      <c r="M2" s="133">
        <v>4</v>
      </c>
      <c r="N2" s="133">
        <v>4</v>
      </c>
      <c r="O2" s="133">
        <v>4</v>
      </c>
      <c r="P2" s="133">
        <v>4</v>
      </c>
      <c r="Q2" s="133">
        <v>3</v>
      </c>
      <c r="R2" s="133">
        <v>3</v>
      </c>
      <c r="S2" s="133">
        <v>3</v>
      </c>
      <c r="T2" s="133">
        <v>3</v>
      </c>
    </row>
    <row r="3" spans="1:20" x14ac:dyDescent="0.3">
      <c r="A3" s="127" t="s">
        <v>7</v>
      </c>
      <c r="B3" s="122">
        <v>0</v>
      </c>
      <c r="C3" s="122">
        <v>5.666666666666667</v>
      </c>
      <c r="D3" s="372">
        <v>6</v>
      </c>
      <c r="E3" s="369" t="s">
        <v>70</v>
      </c>
      <c r="F3" s="115">
        <v>26.9</v>
      </c>
      <c r="H3" s="128" t="s">
        <v>35</v>
      </c>
      <c r="I3" s="132">
        <v>8.3333333333333339</v>
      </c>
      <c r="J3" s="133">
        <v>5.666666666666667</v>
      </c>
      <c r="K3" s="133">
        <v>4.666666666666667</v>
      </c>
      <c r="L3" s="133">
        <v>4.333333333333333</v>
      </c>
      <c r="M3" s="133">
        <v>4.25</v>
      </c>
      <c r="N3" s="133">
        <v>4.333333333333333</v>
      </c>
      <c r="O3" s="133">
        <v>4</v>
      </c>
      <c r="P3" s="133">
        <v>3.1666666666666665</v>
      </c>
      <c r="Q3" s="133">
        <v>2.9166666666666665</v>
      </c>
      <c r="R3" s="133">
        <v>3.0833333333333335</v>
      </c>
      <c r="S3" s="133">
        <v>3</v>
      </c>
      <c r="T3" s="131"/>
    </row>
    <row r="4" spans="1:20" x14ac:dyDescent="0.3">
      <c r="A4" s="127" t="s">
        <v>9</v>
      </c>
      <c r="B4" s="122">
        <v>0</v>
      </c>
      <c r="C4" s="122">
        <v>4.666666666666667</v>
      </c>
      <c r="D4" s="372">
        <v>5</v>
      </c>
      <c r="E4" s="369" t="s">
        <v>73</v>
      </c>
      <c r="F4" s="115">
        <f>F2*F3</f>
        <v>12.374000000000001</v>
      </c>
      <c r="H4" s="128" t="s">
        <v>40</v>
      </c>
      <c r="I4" s="134">
        <v>41</v>
      </c>
      <c r="J4" s="134">
        <v>0</v>
      </c>
      <c r="K4" s="134">
        <v>0</v>
      </c>
      <c r="L4" s="134">
        <v>0</v>
      </c>
      <c r="M4" s="134">
        <v>0</v>
      </c>
      <c r="N4" s="134">
        <v>0</v>
      </c>
      <c r="O4" s="134">
        <v>0</v>
      </c>
      <c r="P4" s="134">
        <v>0</v>
      </c>
      <c r="Q4" s="134">
        <v>41</v>
      </c>
      <c r="R4" s="134">
        <v>0</v>
      </c>
      <c r="S4" s="134">
        <v>0</v>
      </c>
      <c r="T4" s="134"/>
    </row>
    <row r="5" spans="1:20" x14ac:dyDescent="0.3">
      <c r="A5" s="127" t="s">
        <v>11</v>
      </c>
      <c r="B5" s="122">
        <v>0</v>
      </c>
      <c r="C5" s="122">
        <v>4.333333333333333</v>
      </c>
      <c r="D5" s="133">
        <v>4</v>
      </c>
      <c r="H5" s="128" t="s">
        <v>43</v>
      </c>
      <c r="I5" s="134"/>
      <c r="J5" s="134">
        <v>41</v>
      </c>
      <c r="K5" s="134">
        <v>0</v>
      </c>
      <c r="L5" s="134">
        <v>0</v>
      </c>
      <c r="M5" s="134">
        <v>0</v>
      </c>
      <c r="N5" s="134">
        <v>0</v>
      </c>
      <c r="O5" s="134">
        <v>0</v>
      </c>
      <c r="P5" s="134">
        <v>0</v>
      </c>
      <c r="Q5" s="134">
        <v>0</v>
      </c>
      <c r="R5" s="134">
        <v>41</v>
      </c>
      <c r="S5" s="134">
        <v>0</v>
      </c>
      <c r="T5" s="134">
        <v>0</v>
      </c>
    </row>
    <row r="6" spans="1:20" x14ac:dyDescent="0.3">
      <c r="A6" s="127" t="s">
        <v>13</v>
      </c>
      <c r="B6" s="122">
        <v>4</v>
      </c>
      <c r="C6" s="122">
        <v>4.25</v>
      </c>
      <c r="D6" s="133">
        <v>4</v>
      </c>
      <c r="H6" s="128" t="s">
        <v>45</v>
      </c>
      <c r="I6" s="134"/>
      <c r="J6" s="135">
        <f>I4-J2</f>
        <v>33</v>
      </c>
      <c r="K6" s="135">
        <f>J4+J6-K2</f>
        <v>27</v>
      </c>
      <c r="L6" s="135">
        <f>K4+K6-L2</f>
        <v>22</v>
      </c>
      <c r="M6" s="135">
        <f>L4+L6-M2</f>
        <v>18</v>
      </c>
      <c r="N6" s="135">
        <f>M4+M6-N2</f>
        <v>14</v>
      </c>
      <c r="O6" s="135">
        <f t="shared" ref="O6:P6" si="0">N4+N6-O2</f>
        <v>10</v>
      </c>
      <c r="P6" s="135">
        <f t="shared" si="0"/>
        <v>6</v>
      </c>
      <c r="Q6" s="135">
        <f>P4+P6-Q2</f>
        <v>3</v>
      </c>
      <c r="R6" s="135">
        <f>Q4+Q6-R2</f>
        <v>41</v>
      </c>
      <c r="S6" s="135">
        <f>R4+R6-S2</f>
        <v>38</v>
      </c>
      <c r="T6" s="135">
        <f>S4+S6-T2</f>
        <v>35</v>
      </c>
    </row>
    <row r="7" spans="1:20" x14ac:dyDescent="0.3">
      <c r="A7" s="127" t="s">
        <v>15</v>
      </c>
      <c r="B7" s="122">
        <v>0</v>
      </c>
      <c r="C7" s="122">
        <v>4.333333333333333</v>
      </c>
      <c r="D7" s="133">
        <v>4</v>
      </c>
    </row>
    <row r="8" spans="1:20" x14ac:dyDescent="0.3">
      <c r="A8" s="127" t="s">
        <v>17</v>
      </c>
      <c r="B8" s="122">
        <v>0</v>
      </c>
      <c r="C8" s="122">
        <v>4</v>
      </c>
      <c r="D8" s="133">
        <v>4</v>
      </c>
      <c r="H8" s="138" t="s">
        <v>74</v>
      </c>
      <c r="I8" s="138">
        <f>2*F1</f>
        <v>4600</v>
      </c>
    </row>
    <row r="9" spans="1:20" x14ac:dyDescent="0.3">
      <c r="A9" s="127" t="s">
        <v>19</v>
      </c>
      <c r="B9" s="122">
        <v>0</v>
      </c>
      <c r="C9" s="122">
        <v>3.1666666666666665</v>
      </c>
      <c r="D9" s="133">
        <v>3</v>
      </c>
      <c r="H9" s="138" t="s">
        <v>75</v>
      </c>
      <c r="I9" s="138">
        <f>SUM(J6:T6)*F4</f>
        <v>3056.3780000000002</v>
      </c>
    </row>
    <row r="10" spans="1:20" x14ac:dyDescent="0.3">
      <c r="A10" s="127" t="s">
        <v>21</v>
      </c>
      <c r="B10" s="122">
        <v>8</v>
      </c>
      <c r="C10" s="122">
        <v>2.9166666666666665</v>
      </c>
      <c r="D10" s="133">
        <v>3</v>
      </c>
      <c r="H10" s="138" t="s">
        <v>76</v>
      </c>
      <c r="I10" s="138">
        <f>SUM(I8+I9)</f>
        <v>7656.3780000000006</v>
      </c>
    </row>
    <row r="11" spans="1:20" x14ac:dyDescent="0.3">
      <c r="A11" s="127" t="s">
        <v>23</v>
      </c>
      <c r="B11" s="122">
        <v>9</v>
      </c>
      <c r="C11" s="122">
        <v>3.0833333333333335</v>
      </c>
      <c r="D11" s="133">
        <v>3</v>
      </c>
    </row>
    <row r="12" spans="1:20" x14ac:dyDescent="0.3">
      <c r="A12" s="127" t="s">
        <v>28</v>
      </c>
      <c r="B12" s="278">
        <v>0</v>
      </c>
      <c r="C12" s="278">
        <v>3</v>
      </c>
      <c r="D12" s="133">
        <v>3</v>
      </c>
    </row>
    <row r="13" spans="1:20" x14ac:dyDescent="0.3">
      <c r="B13" s="115" t="s">
        <v>72</v>
      </c>
      <c r="C13" s="115">
        <f>AVERAGE(C2:C12)</f>
        <v>4.3409090909090899</v>
      </c>
    </row>
    <row r="14" spans="1:20" ht="14.25" customHeight="1" x14ac:dyDescent="0.3">
      <c r="B14" s="115" t="s">
        <v>38</v>
      </c>
      <c r="C14" s="115">
        <f>SQRT(2*C13*F1/F4)</f>
        <v>40.17114451492597</v>
      </c>
      <c r="G14" s="175" t="s">
        <v>77</v>
      </c>
      <c r="H14" s="195" t="s">
        <v>78</v>
      </c>
      <c r="I14" s="178">
        <v>8</v>
      </c>
      <c r="J14" s="196">
        <v>6</v>
      </c>
      <c r="K14" s="178">
        <v>5</v>
      </c>
      <c r="L14" s="178">
        <v>4</v>
      </c>
      <c r="M14" s="178">
        <v>4</v>
      </c>
      <c r="N14" s="177">
        <v>4</v>
      </c>
      <c r="O14" s="177">
        <v>4</v>
      </c>
      <c r="P14" s="177">
        <v>3</v>
      </c>
      <c r="Q14" s="178">
        <v>3</v>
      </c>
      <c r="R14" s="178">
        <v>3</v>
      </c>
      <c r="S14" s="178">
        <v>3</v>
      </c>
    </row>
    <row r="15" spans="1:20" x14ac:dyDescent="0.3">
      <c r="G15" s="38"/>
      <c r="H15" s="38"/>
      <c r="I15" s="197" t="s">
        <v>124</v>
      </c>
      <c r="J15" s="138"/>
      <c r="K15" s="38"/>
      <c r="L15" s="38"/>
      <c r="M15" s="38"/>
      <c r="N15" s="138"/>
      <c r="O15" s="138"/>
      <c r="P15" s="138"/>
      <c r="Q15" s="38"/>
      <c r="R15" s="38"/>
      <c r="S15" s="38"/>
    </row>
    <row r="16" spans="1:20" x14ac:dyDescent="0.3">
      <c r="G16" s="38"/>
      <c r="H16" s="38"/>
      <c r="I16" s="138" t="s">
        <v>125</v>
      </c>
      <c r="J16" s="179">
        <v>2300</v>
      </c>
      <c r="K16" s="176" t="s">
        <v>126</v>
      </c>
      <c r="L16" s="180">
        <f>SUM(I14:S14)</f>
        <v>47</v>
      </c>
      <c r="M16" s="38"/>
      <c r="N16" s="181"/>
      <c r="O16" s="182" t="s">
        <v>127</v>
      </c>
      <c r="P16" s="182" t="s">
        <v>128</v>
      </c>
      <c r="Q16" s="38"/>
      <c r="R16" s="138" t="s">
        <v>129</v>
      </c>
      <c r="S16" s="138">
        <f>1*F1</f>
        <v>2300</v>
      </c>
    </row>
    <row r="17" spans="7:19" x14ac:dyDescent="0.3">
      <c r="G17" s="38"/>
      <c r="H17" s="38"/>
      <c r="I17" s="138" t="s">
        <v>130</v>
      </c>
      <c r="J17" s="138">
        <f>(F1+F4*J14)/2</f>
        <v>1187.1220000000001</v>
      </c>
      <c r="K17" s="38"/>
      <c r="L17" s="38"/>
      <c r="M17" s="38"/>
      <c r="N17" s="209" t="s">
        <v>5</v>
      </c>
      <c r="O17" s="138">
        <v>47</v>
      </c>
      <c r="P17" s="180">
        <f>L16-I14</f>
        <v>39</v>
      </c>
      <c r="Q17" s="38"/>
      <c r="R17" s="138" t="s">
        <v>131</v>
      </c>
      <c r="S17" s="138">
        <f>F4*P28</f>
        <v>2351.06</v>
      </c>
    </row>
    <row r="18" spans="7:19" x14ac:dyDescent="0.3">
      <c r="G18" s="38"/>
      <c r="H18" s="38"/>
      <c r="I18" s="138" t="s">
        <v>132</v>
      </c>
      <c r="J18" s="138">
        <f>(F1+2*J14+2*F4*K14)/3</f>
        <v>811.9133333333333</v>
      </c>
      <c r="K18" s="38"/>
      <c r="L18" s="38"/>
      <c r="M18" s="38"/>
      <c r="N18" s="209" t="s">
        <v>7</v>
      </c>
      <c r="O18" s="138"/>
      <c r="P18" s="180">
        <f>P17-J14</f>
        <v>33</v>
      </c>
      <c r="Q18" s="38"/>
      <c r="R18" s="138" t="s">
        <v>133</v>
      </c>
      <c r="S18" s="138">
        <f>S16+S17</f>
        <v>4651.0599999999995</v>
      </c>
    </row>
    <row r="19" spans="7:19" x14ac:dyDescent="0.3">
      <c r="G19" s="38"/>
      <c r="H19" s="38"/>
      <c r="I19" s="138" t="s">
        <v>134</v>
      </c>
      <c r="J19" s="138">
        <f>(F1+F4*J14+2*F4*K14+3*F4*L14)/4</f>
        <v>661.61800000000005</v>
      </c>
      <c r="K19" s="38"/>
      <c r="L19" s="38"/>
      <c r="M19" s="38"/>
      <c r="N19" s="209" t="s">
        <v>9</v>
      </c>
      <c r="O19" s="138"/>
      <c r="P19" s="180">
        <f>P18-K14</f>
        <v>28</v>
      </c>
      <c r="Q19" s="38"/>
      <c r="R19" s="38"/>
      <c r="S19" s="38"/>
    </row>
    <row r="20" spans="7:19" x14ac:dyDescent="0.3">
      <c r="G20" s="38"/>
      <c r="H20" s="38"/>
      <c r="I20" s="138" t="s">
        <v>135</v>
      </c>
      <c r="J20" s="138">
        <f>(F1+F4*J14+2*F4*K14+3*F4*L14+4*F4*M14)/5</f>
        <v>568.89120000000003</v>
      </c>
      <c r="K20" s="38"/>
      <c r="L20" s="38"/>
      <c r="M20" s="38"/>
      <c r="N20" s="209" t="s">
        <v>11</v>
      </c>
      <c r="O20" s="138"/>
      <c r="P20" s="180">
        <f>P19-L14</f>
        <v>24</v>
      </c>
      <c r="Q20" s="38"/>
      <c r="R20" s="38"/>
      <c r="S20" s="38"/>
    </row>
    <row r="21" spans="7:19" x14ac:dyDescent="0.3">
      <c r="G21" s="38"/>
      <c r="H21" s="38"/>
      <c r="I21" s="138" t="s">
        <v>136</v>
      </c>
      <c r="J21" s="138">
        <f>(F1+F4*J14+2*F4*K14+3*F4*L14+4*F4*M14+5*F4*N14)/6</f>
        <v>515.32266666666669</v>
      </c>
      <c r="K21" s="38"/>
      <c r="L21" s="38"/>
      <c r="M21" s="38"/>
      <c r="N21" s="209" t="s">
        <v>13</v>
      </c>
      <c r="O21" s="138"/>
      <c r="P21" s="180">
        <f>P20-M14</f>
        <v>20</v>
      </c>
      <c r="Q21" s="38"/>
      <c r="R21" s="38"/>
      <c r="S21" s="38"/>
    </row>
    <row r="22" spans="7:19" x14ac:dyDescent="0.3">
      <c r="G22" s="38"/>
      <c r="H22" s="38"/>
      <c r="I22" s="138" t="s">
        <v>137</v>
      </c>
      <c r="J22" s="138">
        <f>(F1+F4*J14+2*F4*K14+3*F4*L14+4*F4*M14+5*F4*N14+6*F4*O14)/7</f>
        <v>484.13028571428578</v>
      </c>
      <c r="K22" s="38"/>
      <c r="L22" s="38"/>
      <c r="M22" s="38"/>
      <c r="N22" s="209" t="s">
        <v>15</v>
      </c>
      <c r="O22" s="138"/>
      <c r="P22" s="180">
        <f>P21-N14</f>
        <v>16</v>
      </c>
      <c r="Q22" s="38"/>
      <c r="R22" s="38"/>
      <c r="S22" s="38"/>
    </row>
    <row r="23" spans="7:19" x14ac:dyDescent="0.3">
      <c r="G23" s="38"/>
      <c r="H23" s="38"/>
      <c r="I23" s="138" t="s">
        <v>138</v>
      </c>
      <c r="J23" s="138">
        <f>(F1+F4*J14+2*F4*K14+3*F4*L14+4*F4*M14+5*F4*N14+6*F4*O14+7*F4*P14)/8</f>
        <v>456.09575000000007</v>
      </c>
      <c r="K23" s="38"/>
      <c r="L23" s="38"/>
      <c r="M23" s="38"/>
      <c r="N23" s="209" t="s">
        <v>17</v>
      </c>
      <c r="O23" s="138"/>
      <c r="P23" s="180">
        <f>P22-O14</f>
        <v>12</v>
      </c>
      <c r="Q23" s="38"/>
      <c r="R23" s="38"/>
      <c r="S23" s="38"/>
    </row>
    <row r="24" spans="7:19" x14ac:dyDescent="0.3">
      <c r="G24" s="38"/>
      <c r="H24" s="38"/>
      <c r="I24" s="138" t="s">
        <v>139</v>
      </c>
      <c r="J24" s="138">
        <f>(F1+F4*J14+2*F4*K14+3*F4*L14+4*F4*M14+5*F4*N14+6*F4*O14+7*F4*P14+8*F4*Q14)/9</f>
        <v>438.41577777777786</v>
      </c>
      <c r="K24" s="38"/>
      <c r="L24" s="38"/>
      <c r="M24" s="38"/>
      <c r="N24" s="209" t="s">
        <v>19</v>
      </c>
      <c r="O24" s="138"/>
      <c r="P24" s="180">
        <f>P23-P14</f>
        <v>9</v>
      </c>
      <c r="Q24" s="38"/>
      <c r="R24" s="38"/>
      <c r="S24" s="38"/>
    </row>
    <row r="25" spans="7:19" x14ac:dyDescent="0.3">
      <c r="G25" s="38"/>
      <c r="H25" s="38"/>
      <c r="I25" s="138" t="s">
        <v>140</v>
      </c>
      <c r="J25" s="138">
        <f>(F1+F4*J14+2*F4*K14+3*F4*L14+4*F4*M14+5*F4*N14+6*F4*O14+7*F4*P14+8*F4*Q14+9*F4*R14)/10</f>
        <v>427.98400000000009</v>
      </c>
      <c r="K25" s="38"/>
      <c r="L25" s="38"/>
      <c r="M25" s="38"/>
      <c r="N25" s="209" t="s">
        <v>21</v>
      </c>
      <c r="O25" s="138"/>
      <c r="P25" s="180">
        <f>P24-Q14</f>
        <v>6</v>
      </c>
      <c r="Q25" s="38"/>
      <c r="R25" s="38"/>
      <c r="S25" s="38"/>
    </row>
    <row r="26" spans="7:19" x14ac:dyDescent="0.3">
      <c r="G26" s="38"/>
      <c r="H26" s="38"/>
      <c r="I26" s="138" t="s">
        <v>141</v>
      </c>
      <c r="J26" s="138">
        <f>(F1+F4*J14+2*F4*K14+3*F4*L14+4*F4*M14+5*F4*N14+6*F4*O14+7*F4*P14+8*F4*Q14+9*F4*R14+10*F4*S14)/11</f>
        <v>422.82363636363647</v>
      </c>
      <c r="K26" s="38"/>
      <c r="L26" s="38"/>
      <c r="M26" s="38"/>
      <c r="N26" s="209" t="s">
        <v>23</v>
      </c>
      <c r="O26" s="138"/>
      <c r="P26" s="180">
        <f>P25-R14</f>
        <v>3</v>
      </c>
      <c r="Q26" s="38"/>
      <c r="R26" s="38"/>
      <c r="S26" s="38"/>
    </row>
    <row r="27" spans="7:19" x14ac:dyDescent="0.3">
      <c r="G27" s="38"/>
      <c r="H27" s="38"/>
      <c r="I27" s="38"/>
      <c r="J27" s="38"/>
      <c r="K27" s="38"/>
      <c r="L27" s="38"/>
      <c r="M27" s="38"/>
      <c r="N27" s="209" t="s">
        <v>28</v>
      </c>
      <c r="O27" s="138"/>
      <c r="P27" s="180">
        <f>P26-S14</f>
        <v>0</v>
      </c>
      <c r="Q27" s="38"/>
      <c r="R27" s="38"/>
      <c r="S27" s="38"/>
    </row>
    <row r="28" spans="7:19" x14ac:dyDescent="0.3">
      <c r="G28" s="38"/>
      <c r="H28" s="38"/>
      <c r="I28" s="38"/>
      <c r="J28" s="38"/>
      <c r="K28" s="38"/>
      <c r="L28" s="38"/>
      <c r="M28" s="38"/>
      <c r="N28" s="138"/>
      <c r="O28" s="138" t="s">
        <v>142</v>
      </c>
      <c r="P28" s="180">
        <f>SUM(P17:P27)</f>
        <v>190</v>
      </c>
      <c r="Q28" s="38"/>
      <c r="R28" s="38"/>
      <c r="S28" s="38"/>
    </row>
    <row r="33" spans="3:19" x14ac:dyDescent="0.3">
      <c r="C33" t="s">
        <v>70</v>
      </c>
      <c r="D33">
        <v>26.9</v>
      </c>
    </row>
    <row r="34" spans="3:19" x14ac:dyDescent="0.3">
      <c r="C34" t="s">
        <v>143</v>
      </c>
      <c r="D34">
        <v>0.46</v>
      </c>
      <c r="G34" s="184" t="s">
        <v>96</v>
      </c>
      <c r="H34" s="192" t="s">
        <v>78</v>
      </c>
      <c r="I34" s="193">
        <v>8</v>
      </c>
      <c r="J34" s="183">
        <v>6</v>
      </c>
      <c r="K34" s="183">
        <v>5</v>
      </c>
      <c r="L34" s="183">
        <v>4</v>
      </c>
      <c r="M34" s="183">
        <v>4</v>
      </c>
      <c r="N34" s="183">
        <v>4</v>
      </c>
      <c r="O34" s="183">
        <v>4</v>
      </c>
      <c r="P34" s="183">
        <v>3</v>
      </c>
      <c r="Q34" s="183">
        <v>3</v>
      </c>
      <c r="R34" s="183">
        <v>3</v>
      </c>
      <c r="S34" s="183">
        <v>3</v>
      </c>
    </row>
    <row r="35" spans="3:19" x14ac:dyDescent="0.3">
      <c r="C35" s="115" t="s">
        <v>122</v>
      </c>
      <c r="D35" s="115">
        <v>2300</v>
      </c>
      <c r="H35" s="184" t="s">
        <v>144</v>
      </c>
      <c r="I35" s="184"/>
    </row>
    <row r="36" spans="3:19" x14ac:dyDescent="0.3">
      <c r="C36" s="115" t="s">
        <v>73</v>
      </c>
      <c r="D36" s="115">
        <f>D33*D34</f>
        <v>12.374000000000001</v>
      </c>
      <c r="H36" s="184" t="s">
        <v>125</v>
      </c>
      <c r="I36" s="184">
        <f>D35/I34</f>
        <v>287.5</v>
      </c>
      <c r="J36" s="191" t="s">
        <v>126</v>
      </c>
      <c r="K36" s="188">
        <f>SUM(I34:P34)</f>
        <v>38</v>
      </c>
      <c r="M36" s="189"/>
      <c r="N36" s="190" t="s">
        <v>127</v>
      </c>
      <c r="O36" s="190" t="s">
        <v>128</v>
      </c>
      <c r="Q36" s="184" t="s">
        <v>129</v>
      </c>
      <c r="R36" s="184">
        <f>2*D35</f>
        <v>4600</v>
      </c>
    </row>
    <row r="37" spans="3:19" x14ac:dyDescent="0.3">
      <c r="H37" s="184" t="s">
        <v>130</v>
      </c>
      <c r="I37" s="184">
        <f>(D35+D36*J34)/(I34+J34)</f>
        <v>169.58885714285717</v>
      </c>
      <c r="J37" s="191" t="s">
        <v>145</v>
      </c>
      <c r="K37" s="188">
        <f>SUM(Q34:S34)</f>
        <v>9</v>
      </c>
      <c r="M37" s="210" t="s">
        <v>5</v>
      </c>
      <c r="N37" s="184">
        <v>38</v>
      </c>
      <c r="O37" s="188">
        <f>N37-I34</f>
        <v>30</v>
      </c>
      <c r="Q37" s="184" t="s">
        <v>131</v>
      </c>
      <c r="R37" s="184">
        <f>O48*D36</f>
        <v>1460.1320000000001</v>
      </c>
    </row>
    <row r="38" spans="3:19" x14ac:dyDescent="0.3">
      <c r="H38" s="184" t="s">
        <v>132</v>
      </c>
      <c r="I38" s="184">
        <f>(D35+D36*J34+2*D36*K34)/(I34+J34+K34)</f>
        <v>131.47284210526317</v>
      </c>
      <c r="M38" s="210" t="s">
        <v>7</v>
      </c>
      <c r="N38" s="184"/>
      <c r="O38" s="188">
        <f>O37-J34</f>
        <v>24</v>
      </c>
      <c r="Q38" s="184" t="s">
        <v>133</v>
      </c>
      <c r="R38" s="184">
        <f>R36+R37</f>
        <v>6060.1319999999996</v>
      </c>
    </row>
    <row r="39" spans="3:19" x14ac:dyDescent="0.3">
      <c r="H39" s="184" t="s">
        <v>134</v>
      </c>
      <c r="I39" s="184">
        <f>(D35+D36*J34+2*D36*K34+3*D36*L34)/(I34+J34+K34+L34)</f>
        <v>115.06400000000001</v>
      </c>
      <c r="M39" s="210" t="s">
        <v>9</v>
      </c>
      <c r="N39" s="184"/>
      <c r="O39" s="188">
        <f>O38-K34</f>
        <v>19</v>
      </c>
    </row>
    <row r="40" spans="3:19" x14ac:dyDescent="0.3">
      <c r="H40" s="184" t="s">
        <v>135</v>
      </c>
      <c r="I40" s="184">
        <f>(D35+D36*J34+2*D36*K34+3*D36*L34+4*D36*M34)/(I34+J34+K34+L34+M34)</f>
        <v>105.35022222222223</v>
      </c>
      <c r="M40" s="210" t="s">
        <v>11</v>
      </c>
      <c r="N40" s="184"/>
      <c r="O40" s="188">
        <f>O39-L34</f>
        <v>15</v>
      </c>
    </row>
    <row r="41" spans="3:19" x14ac:dyDescent="0.3">
      <c r="H41" s="184" t="s">
        <v>136</v>
      </c>
      <c r="I41" s="184">
        <f>(D35+D36*J34+2*D36*K34+3*D36*L34+4*D36*M34+5*D36*N34)/(I34+J34+K34+L34+M34+N34)</f>
        <v>99.739870967741936</v>
      </c>
      <c r="M41" s="210" t="s">
        <v>13</v>
      </c>
      <c r="N41" s="184"/>
      <c r="O41" s="188">
        <f>O40-M34</f>
        <v>11</v>
      </c>
    </row>
    <row r="42" spans="3:19" x14ac:dyDescent="0.3">
      <c r="H42" s="184" t="s">
        <v>137</v>
      </c>
      <c r="I42" s="184">
        <f>(D35+D36*J34+2*D36*K34+3*D36*L34+4*D36*M34+5*D36*N34+6*D36*O34)/(I34+J34+K34+L34+M34+N34+O34)</f>
        <v>96.826057142857152</v>
      </c>
      <c r="M42" s="210" t="s">
        <v>15</v>
      </c>
      <c r="N42" s="184"/>
      <c r="O42" s="188">
        <f>O41-N34</f>
        <v>7</v>
      </c>
    </row>
    <row r="43" spans="3:19" x14ac:dyDescent="0.3">
      <c r="H43" s="184" t="s">
        <v>138</v>
      </c>
      <c r="I43" s="184">
        <f>(D35+D36*J34+2*D36*K34+3*D36*L34+4*D36*M34+5*D36*N34+6*D36*O34+7*D36*P34)/(I34+J34+K34+L34+M34+N34+O34+P34)</f>
        <v>96.020157894736855</v>
      </c>
      <c r="M43" s="210" t="s">
        <v>17</v>
      </c>
      <c r="N43" s="184"/>
      <c r="O43" s="188">
        <f>O42-O34</f>
        <v>3</v>
      </c>
    </row>
    <row r="44" spans="3:19" x14ac:dyDescent="0.3">
      <c r="H44" s="184" t="s">
        <v>139</v>
      </c>
      <c r="I44" s="184">
        <f>(D35+D36*J34+2*D36*K34+3*D36*L34+4*D36*M34+5*D36*N34+6*D36*O34+7*D36*P34+8*D36*Q34)/(I34+J34+K34+L34+M34+N34+O34+P34+Q34)</f>
        <v>96.237609756097584</v>
      </c>
      <c r="M44" s="210" t="s">
        <v>19</v>
      </c>
      <c r="N44" s="184"/>
      <c r="O44" s="188">
        <f>O43-P34</f>
        <v>0</v>
      </c>
    </row>
    <row r="45" spans="3:19" x14ac:dyDescent="0.3">
      <c r="H45" s="184"/>
      <c r="I45" s="184"/>
      <c r="M45" s="210" t="s">
        <v>21</v>
      </c>
      <c r="N45" s="184">
        <v>9</v>
      </c>
      <c r="O45" s="188">
        <f>N45-Q34</f>
        <v>6</v>
      </c>
    </row>
    <row r="46" spans="3:19" x14ac:dyDescent="0.3">
      <c r="H46" s="184" t="s">
        <v>146</v>
      </c>
      <c r="I46" s="184"/>
      <c r="M46" s="210" t="s">
        <v>23</v>
      </c>
      <c r="N46" s="184"/>
      <c r="O46" s="188">
        <f>O45-R34</f>
        <v>3</v>
      </c>
    </row>
    <row r="47" spans="3:19" x14ac:dyDescent="0.3">
      <c r="H47" s="184" t="s">
        <v>125</v>
      </c>
      <c r="I47" s="184">
        <f>D35/P34</f>
        <v>766.66666666666663</v>
      </c>
      <c r="M47" s="210" t="s">
        <v>28</v>
      </c>
      <c r="N47" s="184"/>
      <c r="O47" s="194">
        <f>O46-S34</f>
        <v>0</v>
      </c>
    </row>
    <row r="48" spans="3:19" x14ac:dyDescent="0.3">
      <c r="H48" s="184" t="s">
        <v>130</v>
      </c>
      <c r="I48" s="184">
        <f>(D35+D36*Q34)/(P34+Q34)</f>
        <v>389.52033333333333</v>
      </c>
      <c r="N48" t="s">
        <v>142</v>
      </c>
      <c r="O48" s="188">
        <f>SUM(O37:O47)</f>
        <v>118</v>
      </c>
    </row>
    <row r="49" spans="3:19" x14ac:dyDescent="0.3">
      <c r="H49" s="184" t="s">
        <v>132</v>
      </c>
      <c r="I49" s="184">
        <f>(D35+D36*Q34+2*D36*R34)/(P34+Q34+R34)</f>
        <v>267.92955555555557</v>
      </c>
    </row>
    <row r="50" spans="3:19" x14ac:dyDescent="0.3">
      <c r="H50" s="184" t="s">
        <v>134</v>
      </c>
      <c r="I50" s="184">
        <f>(D35+D36*Q34+2*D36*R34+3*D36*S34)/(P34+Q34+R34+S34)</f>
        <v>210.22766666666666</v>
      </c>
    </row>
    <row r="54" spans="3:19" x14ac:dyDescent="0.3">
      <c r="G54" s="200" t="s">
        <v>100</v>
      </c>
      <c r="H54" s="201" t="s">
        <v>78</v>
      </c>
      <c r="I54" s="202">
        <v>8</v>
      </c>
      <c r="J54" s="202">
        <v>6</v>
      </c>
      <c r="K54" s="202">
        <v>5</v>
      </c>
      <c r="L54" s="202">
        <v>4</v>
      </c>
      <c r="M54" s="202">
        <v>4</v>
      </c>
      <c r="N54" s="202">
        <v>4</v>
      </c>
      <c r="O54" s="202">
        <v>4</v>
      </c>
      <c r="P54" s="202">
        <v>3</v>
      </c>
      <c r="Q54" s="202">
        <v>3</v>
      </c>
      <c r="R54" s="202">
        <v>3</v>
      </c>
      <c r="S54" s="202">
        <v>3</v>
      </c>
    </row>
    <row r="55" spans="3:19" x14ac:dyDescent="0.3">
      <c r="H55" s="206" t="s">
        <v>144</v>
      </c>
      <c r="I55" s="207"/>
    </row>
    <row r="56" spans="3:19" x14ac:dyDescent="0.3">
      <c r="C56" s="115" t="s">
        <v>122</v>
      </c>
      <c r="D56" s="115">
        <v>2300</v>
      </c>
      <c r="H56" s="206">
        <v>1</v>
      </c>
      <c r="I56" s="206">
        <v>0</v>
      </c>
      <c r="J56" s="172"/>
    </row>
    <row r="57" spans="3:19" x14ac:dyDescent="0.3">
      <c r="C57" s="115" t="s">
        <v>73</v>
      </c>
      <c r="D57" s="115">
        <v>12.374000000000001</v>
      </c>
      <c r="H57" s="206">
        <v>2</v>
      </c>
      <c r="I57" s="206">
        <f>D57*J54</f>
        <v>74.244</v>
      </c>
      <c r="J57" s="172"/>
      <c r="K57" s="207" t="s">
        <v>126</v>
      </c>
      <c r="L57" s="208">
        <f>I54+J54+K54+L54+M54+N54+O54+P54+Q54+R54+S54</f>
        <v>47</v>
      </c>
      <c r="N57" s="203"/>
      <c r="O57" s="204" t="s">
        <v>127</v>
      </c>
      <c r="P57" s="204" t="s">
        <v>128</v>
      </c>
      <c r="R57" s="200" t="s">
        <v>129</v>
      </c>
      <c r="S57" s="200">
        <f>1*D56</f>
        <v>2300</v>
      </c>
    </row>
    <row r="58" spans="3:19" x14ac:dyDescent="0.3">
      <c r="H58" s="206">
        <v>3</v>
      </c>
      <c r="I58" s="206">
        <f>D57*J54+2*D57*K54</f>
        <v>197.98400000000001</v>
      </c>
      <c r="J58" s="172"/>
      <c r="N58" s="211" t="s">
        <v>5</v>
      </c>
      <c r="O58" s="200">
        <v>47</v>
      </c>
      <c r="P58" s="205">
        <f>O58-I54</f>
        <v>39</v>
      </c>
      <c r="R58" s="200" t="s">
        <v>131</v>
      </c>
      <c r="S58" s="200">
        <f>190*D57</f>
        <v>2351.06</v>
      </c>
    </row>
    <row r="59" spans="3:19" x14ac:dyDescent="0.3">
      <c r="H59" s="206">
        <v>4</v>
      </c>
      <c r="I59" s="206">
        <f>D57*J54+2*D57*K54+3*D57*L54</f>
        <v>346.47199999999998</v>
      </c>
      <c r="J59" s="172"/>
      <c r="N59" s="211" t="s">
        <v>7</v>
      </c>
      <c r="O59" s="200"/>
      <c r="P59" s="205">
        <f>P58-J54</f>
        <v>33</v>
      </c>
      <c r="R59" s="200" t="s">
        <v>133</v>
      </c>
      <c r="S59" s="200">
        <f>S57+S58</f>
        <v>4651.0599999999995</v>
      </c>
    </row>
    <row r="60" spans="3:19" x14ac:dyDescent="0.3">
      <c r="H60" s="206">
        <v>5</v>
      </c>
      <c r="I60" s="206">
        <f>D57*J54+2*D57*K54+3*D57*L54+4*D57*M54</f>
        <v>544.45600000000002</v>
      </c>
      <c r="J60" s="172"/>
      <c r="N60" s="211" t="s">
        <v>9</v>
      </c>
      <c r="O60" s="200"/>
      <c r="P60" s="205">
        <f>P59-K54</f>
        <v>28</v>
      </c>
    </row>
    <row r="61" spans="3:19" x14ac:dyDescent="0.3">
      <c r="H61" s="206">
        <v>6</v>
      </c>
      <c r="I61" s="206">
        <f>D57*J54+2*D57*K54+3*D57*L54+4*D57*M54+5*D57*N54</f>
        <v>791.93600000000004</v>
      </c>
      <c r="J61" s="172"/>
      <c r="N61" s="211" t="s">
        <v>11</v>
      </c>
      <c r="O61" s="200"/>
      <c r="P61" s="205">
        <f>P60-L54</f>
        <v>24</v>
      </c>
    </row>
    <row r="62" spans="3:19" x14ac:dyDescent="0.3">
      <c r="H62" s="206">
        <v>7</v>
      </c>
      <c r="I62" s="206">
        <f>D57*J54+2*D57*K54+3*D57*L54+4*D57*M54+5*D57*N54+6*D57*O54</f>
        <v>1088.912</v>
      </c>
      <c r="J62" s="172"/>
      <c r="N62" s="211" t="s">
        <v>13</v>
      </c>
      <c r="O62" s="200"/>
      <c r="P62" s="205">
        <f>P61-M54</f>
        <v>20</v>
      </c>
    </row>
    <row r="63" spans="3:19" x14ac:dyDescent="0.3">
      <c r="H63" s="206">
        <v>8</v>
      </c>
      <c r="I63" s="206">
        <f>D57*J54+2*D57*K54+3*D57*L54+4*D57*M54+5*D57*N54+6*D57*O54+7*D57*P54</f>
        <v>1348.7660000000001</v>
      </c>
      <c r="J63" s="172"/>
      <c r="N63" s="211" t="s">
        <v>15</v>
      </c>
      <c r="O63" s="200"/>
      <c r="P63" s="205">
        <f>P62-N54</f>
        <v>16</v>
      </c>
    </row>
    <row r="64" spans="3:19" x14ac:dyDescent="0.3">
      <c r="H64" s="206">
        <v>9</v>
      </c>
      <c r="I64" s="206">
        <f>D57*J54+2*D57*K54+3*D57*L54+4*D57*M54+5*D57*N54+6*D57*O54+7*D57*P54+8*D57*Q54</f>
        <v>1645.7420000000002</v>
      </c>
      <c r="J64" s="172"/>
      <c r="N64" s="211" t="s">
        <v>17</v>
      </c>
      <c r="O64" s="200"/>
      <c r="P64" s="205">
        <f>P63-O54</f>
        <v>12</v>
      </c>
    </row>
    <row r="65" spans="8:16" x14ac:dyDescent="0.3">
      <c r="H65" s="206">
        <v>10</v>
      </c>
      <c r="I65" s="206">
        <f>D57*J54+2*D57*K54+3*D57*L54+4*D57*M54+5*D57*N54+6*D57*O54+7*D57*P54+8*D57*Q54+9*D57*R54</f>
        <v>1979.8400000000001</v>
      </c>
      <c r="J65" s="172"/>
      <c r="N65" s="211" t="s">
        <v>19</v>
      </c>
      <c r="O65" s="200"/>
      <c r="P65" s="205">
        <f>P64-P54</f>
        <v>9</v>
      </c>
    </row>
    <row r="66" spans="8:16" x14ac:dyDescent="0.3">
      <c r="H66" s="206">
        <v>11</v>
      </c>
      <c r="I66" s="206">
        <f>D57*J54+2*D57*K54+3*D57*L54+4*D57*M54+5*D57*N54+6*D57*O54+7*D57*P54+8*D57*Q54+9*D57*R54+10*D57*S54</f>
        <v>2351.0600000000004</v>
      </c>
      <c r="J66" s="206" t="s">
        <v>147</v>
      </c>
      <c r="N66" s="211" t="s">
        <v>21</v>
      </c>
      <c r="O66" s="200"/>
      <c r="P66" s="205">
        <f>P65-Q54</f>
        <v>6</v>
      </c>
    </row>
    <row r="67" spans="8:16" x14ac:dyDescent="0.3">
      <c r="H67" s="172"/>
      <c r="I67" s="172"/>
      <c r="J67" s="172"/>
      <c r="N67" s="211" t="s">
        <v>23</v>
      </c>
      <c r="O67" s="200"/>
      <c r="P67" s="205">
        <f>P66-R54</f>
        <v>3</v>
      </c>
    </row>
    <row r="68" spans="8:16" x14ac:dyDescent="0.3">
      <c r="H68" s="172"/>
      <c r="I68" s="172"/>
      <c r="J68" s="172"/>
      <c r="N68" s="211" t="s">
        <v>28</v>
      </c>
      <c r="O68" s="200"/>
      <c r="P68" s="205">
        <f>P67-S54</f>
        <v>0</v>
      </c>
    </row>
    <row r="69" spans="8:16" x14ac:dyDescent="0.3">
      <c r="H69" s="172"/>
      <c r="I69" s="172"/>
      <c r="J69" s="172"/>
      <c r="N69" s="200"/>
      <c r="O69" s="200" t="s">
        <v>142</v>
      </c>
      <c r="P69" s="205">
        <f>SUM(P58:P68)</f>
        <v>190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4F4F-FF31-4718-9275-BB52AFF37F52}">
  <dimension ref="A1:T68"/>
  <sheetViews>
    <sheetView topLeftCell="B1" zoomScale="77" zoomScaleNormal="85" workbookViewId="0">
      <selection activeCell="T6" sqref="T6"/>
    </sheetView>
  </sheetViews>
  <sheetFormatPr defaultColWidth="11.44140625" defaultRowHeight="14.4" x14ac:dyDescent="0.3"/>
  <cols>
    <col min="7" max="7" width="20.6640625" customWidth="1"/>
    <col min="8" max="8" width="19" customWidth="1"/>
    <col min="9" max="17" width="9.109375" bestFit="1" customWidth="1"/>
    <col min="18" max="18" width="11.33203125" customWidth="1"/>
  </cols>
  <sheetData>
    <row r="1" spans="1:20" x14ac:dyDescent="0.3">
      <c r="A1" s="138" t="s">
        <v>148</v>
      </c>
      <c r="B1" s="138" t="s">
        <v>1</v>
      </c>
      <c r="C1" s="138" t="s">
        <v>2</v>
      </c>
      <c r="G1" s="353" t="s">
        <v>123</v>
      </c>
      <c r="H1" s="566" t="s">
        <v>26</v>
      </c>
      <c r="I1" s="566" t="s">
        <v>27</v>
      </c>
      <c r="J1" s="566" t="s">
        <v>5</v>
      </c>
      <c r="K1" s="566" t="s">
        <v>7</v>
      </c>
      <c r="L1" s="566" t="s">
        <v>9</v>
      </c>
      <c r="M1" s="566" t="s">
        <v>11</v>
      </c>
      <c r="N1" s="566" t="s">
        <v>13</v>
      </c>
      <c r="O1" s="566" t="s">
        <v>15</v>
      </c>
      <c r="P1" s="566" t="s">
        <v>17</v>
      </c>
      <c r="Q1" s="566" t="s">
        <v>19</v>
      </c>
      <c r="R1" s="566" t="s">
        <v>21</v>
      </c>
      <c r="S1" s="566" t="s">
        <v>23</v>
      </c>
      <c r="T1" s="566" t="s">
        <v>28</v>
      </c>
    </row>
    <row r="2" spans="1:20" x14ac:dyDescent="0.3">
      <c r="A2" s="209" t="s">
        <v>5</v>
      </c>
      <c r="B2" s="138">
        <v>31</v>
      </c>
      <c r="C2" s="179">
        <v>33.930601414276474</v>
      </c>
      <c r="D2" s="115">
        <v>34</v>
      </c>
      <c r="H2" s="566" t="s">
        <v>32</v>
      </c>
      <c r="I2" s="566"/>
      <c r="J2" s="566">
        <v>34</v>
      </c>
      <c r="K2" s="566">
        <v>33</v>
      </c>
      <c r="L2" s="566">
        <v>38</v>
      </c>
      <c r="M2" s="566">
        <v>34</v>
      </c>
      <c r="N2" s="566">
        <v>26</v>
      </c>
      <c r="O2" s="566">
        <v>23</v>
      </c>
      <c r="P2" s="566">
        <v>24</v>
      </c>
      <c r="Q2" s="566">
        <v>20</v>
      </c>
      <c r="R2" s="566">
        <v>25</v>
      </c>
      <c r="S2" s="566">
        <v>30</v>
      </c>
      <c r="T2" s="566">
        <v>19</v>
      </c>
    </row>
    <row r="3" spans="1:20" x14ac:dyDescent="0.3">
      <c r="A3" s="209" t="s">
        <v>7</v>
      </c>
      <c r="B3" s="138">
        <v>46</v>
      </c>
      <c r="C3" s="179">
        <v>32.758360848565886</v>
      </c>
      <c r="D3" s="115">
        <v>33</v>
      </c>
      <c r="H3" s="566" t="s">
        <v>35</v>
      </c>
      <c r="I3" s="566">
        <v>34</v>
      </c>
      <c r="J3" s="566">
        <v>33</v>
      </c>
      <c r="K3" s="566">
        <v>38</v>
      </c>
      <c r="L3" s="566">
        <v>34</v>
      </c>
      <c r="M3" s="566">
        <v>26</v>
      </c>
      <c r="N3" s="566">
        <v>23</v>
      </c>
      <c r="O3" s="566">
        <v>24</v>
      </c>
      <c r="P3" s="566">
        <v>20</v>
      </c>
      <c r="Q3" s="566">
        <v>25</v>
      </c>
      <c r="R3" s="566">
        <v>30</v>
      </c>
      <c r="S3" s="566">
        <v>19</v>
      </c>
      <c r="T3" s="566"/>
    </row>
    <row r="4" spans="1:20" x14ac:dyDescent="0.3">
      <c r="A4" s="209" t="s">
        <v>9</v>
      </c>
      <c r="B4" s="138">
        <v>28</v>
      </c>
      <c r="C4" s="179">
        <v>38.055016509139534</v>
      </c>
      <c r="D4" s="115">
        <v>38</v>
      </c>
      <c r="H4" s="566" t="s">
        <v>40</v>
      </c>
      <c r="I4" s="566">
        <v>122</v>
      </c>
      <c r="J4" s="566">
        <v>0</v>
      </c>
      <c r="K4" s="566">
        <v>0</v>
      </c>
      <c r="L4" s="566">
        <v>122</v>
      </c>
      <c r="M4" s="566">
        <v>0</v>
      </c>
      <c r="N4" s="566">
        <v>0</v>
      </c>
      <c r="O4" s="566">
        <v>0</v>
      </c>
      <c r="P4" s="566">
        <v>0</v>
      </c>
      <c r="Q4" s="566">
        <v>122</v>
      </c>
      <c r="R4" s="566">
        <v>0</v>
      </c>
      <c r="S4" s="566">
        <v>0</v>
      </c>
      <c r="T4" s="566"/>
    </row>
    <row r="5" spans="1:20" x14ac:dyDescent="0.3">
      <c r="A5" s="209" t="s">
        <v>11</v>
      </c>
      <c r="B5" s="138">
        <v>13</v>
      </c>
      <c r="C5" s="179">
        <v>34.033009905483723</v>
      </c>
      <c r="D5" s="115">
        <v>34</v>
      </c>
      <c r="H5" s="567" t="s">
        <v>43</v>
      </c>
      <c r="I5" s="567"/>
      <c r="J5" s="567">
        <v>122</v>
      </c>
      <c r="K5" s="567">
        <v>0</v>
      </c>
      <c r="L5" s="567">
        <v>0</v>
      </c>
      <c r="M5" s="567">
        <v>122</v>
      </c>
      <c r="N5" s="567">
        <v>0</v>
      </c>
      <c r="O5" s="567">
        <v>0</v>
      </c>
      <c r="P5" s="567">
        <v>0</v>
      </c>
      <c r="Q5" s="567">
        <v>0</v>
      </c>
      <c r="R5" s="567">
        <v>122</v>
      </c>
      <c r="S5" s="567">
        <v>0</v>
      </c>
      <c r="T5" s="567">
        <v>0</v>
      </c>
    </row>
    <row r="6" spans="1:20" x14ac:dyDescent="0.3">
      <c r="A6" s="209" t="s">
        <v>13</v>
      </c>
      <c r="B6" s="138">
        <v>20</v>
      </c>
      <c r="C6" s="179">
        <v>25.619805943290231</v>
      </c>
      <c r="D6" s="115">
        <v>26</v>
      </c>
      <c r="H6" s="568" t="s">
        <v>45</v>
      </c>
      <c r="I6" s="568"/>
      <c r="J6" s="569">
        <f>I4-J2</f>
        <v>88</v>
      </c>
      <c r="K6" s="569">
        <f>J6+J4-K2</f>
        <v>55</v>
      </c>
      <c r="L6" s="569">
        <f>K4+K6-L2</f>
        <v>17</v>
      </c>
      <c r="M6" s="569">
        <f t="shared" ref="M6:Q6" si="0">L4+L6-M2</f>
        <v>105</v>
      </c>
      <c r="N6" s="569">
        <f t="shared" si="0"/>
        <v>79</v>
      </c>
      <c r="O6" s="569">
        <f t="shared" si="0"/>
        <v>56</v>
      </c>
      <c r="P6" s="569">
        <f t="shared" si="0"/>
        <v>32</v>
      </c>
      <c r="Q6" s="569">
        <f t="shared" si="0"/>
        <v>12</v>
      </c>
      <c r="R6" s="569">
        <f t="shared" ref="R6:T6" si="1">Q4+Q6-R2</f>
        <v>109</v>
      </c>
      <c r="S6" s="569">
        <f t="shared" si="1"/>
        <v>79</v>
      </c>
      <c r="T6" s="569">
        <f t="shared" si="1"/>
        <v>60</v>
      </c>
    </row>
    <row r="7" spans="1:20" x14ac:dyDescent="0.3">
      <c r="A7" s="209" t="s">
        <v>15</v>
      </c>
      <c r="B7" s="138">
        <v>25</v>
      </c>
      <c r="C7" s="179">
        <v>23.371883565974137</v>
      </c>
      <c r="D7" s="115">
        <v>23</v>
      </c>
      <c r="H7" s="350" t="s">
        <v>129</v>
      </c>
      <c r="I7" s="350">
        <f>3*B15</f>
        <v>6900</v>
      </c>
      <c r="J7" s="351"/>
      <c r="K7" s="339"/>
      <c r="L7" s="339"/>
      <c r="M7" s="339"/>
      <c r="N7" s="339"/>
      <c r="O7" s="339"/>
      <c r="P7" s="339"/>
      <c r="Q7" s="339"/>
      <c r="R7" s="339"/>
      <c r="S7" s="339"/>
      <c r="T7" s="339"/>
    </row>
    <row r="8" spans="1:20" x14ac:dyDescent="0.3">
      <c r="A8" s="209" t="s">
        <v>17</v>
      </c>
      <c r="B8" s="138">
        <v>14</v>
      </c>
      <c r="C8" s="179">
        <v>24.023130139584481</v>
      </c>
      <c r="D8" s="115">
        <v>24</v>
      </c>
      <c r="H8" s="350" t="s">
        <v>149</v>
      </c>
      <c r="I8" s="350">
        <f>SUM(J6:T6)*B18</f>
        <v>5952.5839999999998</v>
      </c>
    </row>
    <row r="9" spans="1:20" x14ac:dyDescent="0.3">
      <c r="A9" s="209" t="s">
        <v>19</v>
      </c>
      <c r="B9" s="138">
        <v>32</v>
      </c>
      <c r="C9" s="179">
        <v>20.01387808375069</v>
      </c>
      <c r="D9" s="115">
        <v>20</v>
      </c>
      <c r="H9" s="350" t="s">
        <v>133</v>
      </c>
      <c r="I9" s="350">
        <f>SUM(I7+I8)</f>
        <v>12852.583999999999</v>
      </c>
    </row>
    <row r="10" spans="1:20" x14ac:dyDescent="0.3">
      <c r="A10" s="209" t="s">
        <v>21</v>
      </c>
      <c r="B10" s="138">
        <v>36</v>
      </c>
      <c r="C10" s="179">
        <v>24.808326850250417</v>
      </c>
      <c r="D10" s="115">
        <v>25</v>
      </c>
    </row>
    <row r="11" spans="1:20" x14ac:dyDescent="0.3">
      <c r="A11" s="209" t="s">
        <v>23</v>
      </c>
      <c r="B11" s="138">
        <v>4</v>
      </c>
      <c r="C11" s="179">
        <v>29.284996110150249</v>
      </c>
      <c r="D11" s="115">
        <v>30</v>
      </c>
    </row>
    <row r="12" spans="1:20" ht="19.5" customHeight="1" x14ac:dyDescent="0.3">
      <c r="A12" s="209" t="s">
        <v>28</v>
      </c>
      <c r="B12" s="138">
        <v>18</v>
      </c>
      <c r="C12" s="179">
        <v>19.170997666090152</v>
      </c>
      <c r="D12" s="115">
        <v>19</v>
      </c>
      <c r="G12" s="251" t="s">
        <v>77</v>
      </c>
      <c r="H12" s="259" t="s">
        <v>78</v>
      </c>
      <c r="I12" s="260">
        <v>34</v>
      </c>
      <c r="J12" s="200">
        <v>33</v>
      </c>
      <c r="K12" s="200">
        <v>38</v>
      </c>
      <c r="L12" s="200">
        <v>34</v>
      </c>
      <c r="M12" s="200">
        <v>26</v>
      </c>
      <c r="N12" s="200">
        <v>23</v>
      </c>
      <c r="O12" s="200">
        <v>24</v>
      </c>
      <c r="P12" s="200">
        <v>20</v>
      </c>
      <c r="Q12" s="200">
        <v>25</v>
      </c>
      <c r="R12" s="200">
        <v>30</v>
      </c>
      <c r="S12" s="200">
        <v>19</v>
      </c>
    </row>
    <row r="13" spans="1:20" x14ac:dyDescent="0.3">
      <c r="B13" s="17" t="s">
        <v>72</v>
      </c>
      <c r="C13" s="17">
        <f>AVERAGE(C2:C12)</f>
        <v>27.73363700332327</v>
      </c>
      <c r="H13" s="200" t="s">
        <v>124</v>
      </c>
      <c r="I13" s="200"/>
    </row>
    <row r="14" spans="1:20" x14ac:dyDescent="0.3">
      <c r="B14" s="17" t="s">
        <v>38</v>
      </c>
      <c r="C14" s="17">
        <f>SQRT(2*C13*B15/B18)</f>
        <v>121.78186206045152</v>
      </c>
      <c r="H14" s="200" t="s">
        <v>125</v>
      </c>
      <c r="I14" s="200">
        <f>B15</f>
        <v>2300</v>
      </c>
      <c r="N14" s="203"/>
      <c r="O14" s="203" t="s">
        <v>127</v>
      </c>
      <c r="P14" s="203" t="s">
        <v>128</v>
      </c>
      <c r="R14" s="200" t="s">
        <v>129</v>
      </c>
      <c r="S14" s="200">
        <f>2*B15</f>
        <v>4600</v>
      </c>
    </row>
    <row r="15" spans="1:20" x14ac:dyDescent="0.3">
      <c r="A15" s="115" t="s">
        <v>122</v>
      </c>
      <c r="B15" s="115">
        <v>2300</v>
      </c>
      <c r="H15" s="200" t="s">
        <v>130</v>
      </c>
      <c r="I15" s="200">
        <f>(B15+B18*J12)/2</f>
        <v>1291.933</v>
      </c>
      <c r="N15" s="211" t="s">
        <v>5</v>
      </c>
      <c r="O15" s="200">
        <f>L19</f>
        <v>188</v>
      </c>
      <c r="P15" s="205">
        <f>O15-I12</f>
        <v>154</v>
      </c>
      <c r="R15" s="200" t="s">
        <v>149</v>
      </c>
      <c r="S15" s="200">
        <f>B18*P26</f>
        <v>5728.9319999999998</v>
      </c>
    </row>
    <row r="16" spans="1:20" x14ac:dyDescent="0.3">
      <c r="A16" s="115" t="s">
        <v>143</v>
      </c>
      <c r="B16" s="115">
        <v>0.46</v>
      </c>
      <c r="H16" s="200" t="s">
        <v>132</v>
      </c>
      <c r="I16" s="200">
        <f>(B15+B18*J12+2*B18*K12)/3</f>
        <v>1079.2059999999999</v>
      </c>
      <c r="N16" s="211" t="s">
        <v>7</v>
      </c>
      <c r="O16" s="200"/>
      <c r="P16" s="205">
        <f>P15-J12</f>
        <v>121</v>
      </c>
      <c r="R16" s="200" t="s">
        <v>133</v>
      </c>
      <c r="S16" s="200">
        <f>S14+S15</f>
        <v>10328.932000000001</v>
      </c>
    </row>
    <row r="17" spans="1:19" x14ac:dyDescent="0.3">
      <c r="A17" s="115" t="s">
        <v>70</v>
      </c>
      <c r="B17" s="115">
        <v>18.7</v>
      </c>
      <c r="H17" s="200" t="s">
        <v>134</v>
      </c>
      <c r="I17" s="200">
        <f>(B15+B18*J12+2*B18*K12+3*B18*L12)/4</f>
        <v>1028.7555</v>
      </c>
      <c r="N17" s="211" t="s">
        <v>9</v>
      </c>
      <c r="O17" s="200"/>
      <c r="P17" s="205">
        <f>P16-K12</f>
        <v>83</v>
      </c>
    </row>
    <row r="18" spans="1:19" x14ac:dyDescent="0.3">
      <c r="A18" s="115" t="s">
        <v>73</v>
      </c>
      <c r="B18" s="115">
        <f>B16*B17</f>
        <v>8.6020000000000003</v>
      </c>
      <c r="H18" s="200" t="s">
        <v>135</v>
      </c>
      <c r="I18" s="200">
        <f>(B15+B18*J12+2*B18*K12+3*B18*L12+4*B18*M12)/5</f>
        <v>1001.926</v>
      </c>
      <c r="N18" s="211" t="s">
        <v>11</v>
      </c>
      <c r="O18" s="200"/>
      <c r="P18" s="205">
        <f>P17-L12</f>
        <v>49</v>
      </c>
    </row>
    <row r="19" spans="1:19" x14ac:dyDescent="0.3">
      <c r="H19" s="200" t="s">
        <v>136</v>
      </c>
      <c r="I19" s="200">
        <f>(B15+B18*J12+2*B18*K12+3*B18*L12+4*B18*M12+5*B18*N12)/6</f>
        <v>999.81000000000006</v>
      </c>
      <c r="J19" s="200"/>
      <c r="K19" s="200" t="s">
        <v>126</v>
      </c>
      <c r="L19" s="200">
        <f>SUM(I12:N12)</f>
        <v>188</v>
      </c>
      <c r="N19" s="211" t="s">
        <v>13</v>
      </c>
      <c r="O19" s="200"/>
      <c r="P19" s="205">
        <f>P18-M12</f>
        <v>23</v>
      </c>
    </row>
    <row r="20" spans="1:19" x14ac:dyDescent="0.3">
      <c r="H20" s="200" t="s">
        <v>137</v>
      </c>
      <c r="I20" s="200">
        <f>(B15+B18*J12+2*B18*K12+3*B18*L12+4*B18*M12+5*B18*N12+6*B18*O12)/7</f>
        <v>1033.9354285714287</v>
      </c>
      <c r="N20" s="211" t="s">
        <v>15</v>
      </c>
      <c r="O20" s="200"/>
      <c r="P20" s="205">
        <f>P19-N12</f>
        <v>0</v>
      </c>
    </row>
    <row r="21" spans="1:19" x14ac:dyDescent="0.3">
      <c r="H21" s="200"/>
      <c r="I21" s="200"/>
      <c r="N21" s="211" t="s">
        <v>17</v>
      </c>
      <c r="O21" s="200">
        <f>L27</f>
        <v>118</v>
      </c>
      <c r="P21" s="205">
        <f>O21-O12</f>
        <v>94</v>
      </c>
    </row>
    <row r="22" spans="1:19" x14ac:dyDescent="0.3">
      <c r="H22" s="200" t="s">
        <v>150</v>
      </c>
      <c r="I22" s="200"/>
      <c r="N22" s="211" t="s">
        <v>19</v>
      </c>
      <c r="O22" s="200"/>
      <c r="P22" s="205">
        <f>P21-P12</f>
        <v>74</v>
      </c>
    </row>
    <row r="23" spans="1:19" x14ac:dyDescent="0.3">
      <c r="H23" s="200" t="s">
        <v>125</v>
      </c>
      <c r="I23" s="200">
        <f>B15</f>
        <v>2300</v>
      </c>
      <c r="N23" s="211" t="s">
        <v>21</v>
      </c>
      <c r="O23" s="200"/>
      <c r="P23" s="205">
        <f>P22-Q12</f>
        <v>49</v>
      </c>
    </row>
    <row r="24" spans="1:19" x14ac:dyDescent="0.3">
      <c r="H24" s="200" t="s">
        <v>130</v>
      </c>
      <c r="I24" s="200">
        <f>(B15+B18*P12)/2</f>
        <v>1236.02</v>
      </c>
      <c r="N24" s="211" t="s">
        <v>23</v>
      </c>
      <c r="O24" s="200"/>
      <c r="P24" s="205">
        <f>P23-R12</f>
        <v>19</v>
      </c>
    </row>
    <row r="25" spans="1:19" x14ac:dyDescent="0.3">
      <c r="H25" s="200" t="s">
        <v>132</v>
      </c>
      <c r="I25" s="200">
        <f>(B15+B18*P12+2*B18*Q12)/3</f>
        <v>967.38</v>
      </c>
      <c r="N25" s="211" t="s">
        <v>28</v>
      </c>
      <c r="O25" s="200"/>
      <c r="P25" s="205">
        <f>P24-S12</f>
        <v>0</v>
      </c>
    </row>
    <row r="26" spans="1:19" x14ac:dyDescent="0.3">
      <c r="H26" s="200" t="s">
        <v>134</v>
      </c>
      <c r="I26" s="200">
        <f>(B15+B18*P12+2*B18*Q12+3*B18*R12)/4</f>
        <v>919.07999999999993</v>
      </c>
      <c r="O26" s="200" t="s">
        <v>142</v>
      </c>
      <c r="P26" s="205">
        <f>SUM(P15:P25)</f>
        <v>666</v>
      </c>
    </row>
    <row r="27" spans="1:19" x14ac:dyDescent="0.3">
      <c r="H27" s="200" t="s">
        <v>135</v>
      </c>
      <c r="I27" s="256">
        <f>(B15+B18*P12+2*B18*Q12+3*B18*R12+4*B18*S12)/5</f>
        <v>866.01440000000002</v>
      </c>
      <c r="J27" s="200"/>
      <c r="K27" s="200" t="s">
        <v>151</v>
      </c>
      <c r="L27" s="200">
        <f>SUM(O12:S12)</f>
        <v>118</v>
      </c>
    </row>
    <row r="32" spans="1:19" x14ac:dyDescent="0.3">
      <c r="G32" s="271" t="s">
        <v>96</v>
      </c>
      <c r="H32" s="272" t="s">
        <v>78</v>
      </c>
      <c r="I32" s="273">
        <v>34</v>
      </c>
      <c r="J32" s="274">
        <v>33</v>
      </c>
      <c r="K32" s="273">
        <v>38</v>
      </c>
      <c r="L32" s="273">
        <v>34</v>
      </c>
      <c r="M32" s="273">
        <v>26</v>
      </c>
      <c r="N32" s="273">
        <v>23</v>
      </c>
      <c r="O32" s="273">
        <v>24</v>
      </c>
      <c r="P32" s="273">
        <v>20</v>
      </c>
      <c r="Q32" s="273">
        <v>25</v>
      </c>
      <c r="R32" s="273">
        <v>30</v>
      </c>
      <c r="S32" s="273">
        <v>19</v>
      </c>
    </row>
    <row r="33" spans="3:19" x14ac:dyDescent="0.3">
      <c r="C33" s="115" t="s">
        <v>122</v>
      </c>
      <c r="D33" s="115">
        <v>2300</v>
      </c>
      <c r="H33" s="273" t="s">
        <v>144</v>
      </c>
      <c r="I33" s="273"/>
    </row>
    <row r="34" spans="3:19" x14ac:dyDescent="0.3">
      <c r="C34" s="115" t="s">
        <v>73</v>
      </c>
      <c r="D34" s="115">
        <v>8.6020000000000003</v>
      </c>
      <c r="H34" s="273" t="s">
        <v>125</v>
      </c>
      <c r="I34" s="273">
        <f>D33/I32</f>
        <v>67.647058823529406</v>
      </c>
      <c r="N34" s="276"/>
      <c r="O34" s="276" t="s">
        <v>127</v>
      </c>
      <c r="P34" s="276" t="s">
        <v>128</v>
      </c>
      <c r="R34" s="273" t="s">
        <v>129</v>
      </c>
      <c r="S34" s="273">
        <f>3*D33</f>
        <v>6900</v>
      </c>
    </row>
    <row r="35" spans="3:19" x14ac:dyDescent="0.3">
      <c r="H35" s="273" t="s">
        <v>130</v>
      </c>
      <c r="I35" s="273">
        <f>(D33+D34*J32)/(I32+J32)</f>
        <v>38.565164179104478</v>
      </c>
      <c r="N35" s="425" t="s">
        <v>5</v>
      </c>
      <c r="O35" s="273">
        <v>165</v>
      </c>
      <c r="P35" s="277">
        <f>O35-I32</f>
        <v>131</v>
      </c>
      <c r="R35" s="273" t="s">
        <v>149</v>
      </c>
      <c r="S35" s="273">
        <f>D34*P46</f>
        <v>4937.5479999999998</v>
      </c>
    </row>
    <row r="36" spans="3:19" x14ac:dyDescent="0.3">
      <c r="H36" s="273" t="s">
        <v>132</v>
      </c>
      <c r="I36" s="273">
        <f>(D33+D34*J32+2*D34*K32)/(I32+J32+K32)</f>
        <v>30.834457142857143</v>
      </c>
      <c r="N36" s="425" t="s">
        <v>7</v>
      </c>
      <c r="O36" s="273"/>
      <c r="P36" s="277">
        <f>P35-J32</f>
        <v>98</v>
      </c>
      <c r="R36" s="273" t="s">
        <v>133</v>
      </c>
      <c r="S36" s="273">
        <f>S34+S35</f>
        <v>11837.547999999999</v>
      </c>
    </row>
    <row r="37" spans="3:19" x14ac:dyDescent="0.3">
      <c r="H37" s="273" t="s">
        <v>134</v>
      </c>
      <c r="I37" s="273">
        <f>(D33+D34*J32+2*D34*K32+3*D34*L32)/(I32+J32+K32+L32)</f>
        <v>29.604474820143885</v>
      </c>
      <c r="N37" s="425" t="s">
        <v>9</v>
      </c>
      <c r="O37" s="273"/>
      <c r="P37" s="277">
        <f>P36-K32</f>
        <v>60</v>
      </c>
    </row>
    <row r="38" spans="3:19" x14ac:dyDescent="0.3">
      <c r="H38" s="275" t="s">
        <v>135</v>
      </c>
      <c r="I38" s="275">
        <f>(D33+D34*J32+2*D34*K32+3*D34*L32+4*D34*M32)/(I32+J32+K32+L32+M32)</f>
        <v>30.361393939393942</v>
      </c>
      <c r="J38" s="273"/>
      <c r="K38" s="273" t="s">
        <v>126</v>
      </c>
      <c r="L38" s="273">
        <f>SUM(I32:M32)</f>
        <v>165</v>
      </c>
      <c r="N38" s="425" t="s">
        <v>11</v>
      </c>
      <c r="O38" s="273"/>
      <c r="P38" s="277">
        <f>P37-L32</f>
        <v>26</v>
      </c>
    </row>
    <row r="39" spans="3:19" x14ac:dyDescent="0.3">
      <c r="H39" s="273" t="s">
        <v>136</v>
      </c>
      <c r="I39" s="273">
        <f>(D33+D34*J32+2*D34*K32+3*D34*L32+4*D34*M32+5*D34*N32)/(I32+J32+K32+L32+M32+N32)</f>
        <v>31.908829787234044</v>
      </c>
      <c r="N39" s="425" t="s">
        <v>13</v>
      </c>
      <c r="O39" s="273"/>
      <c r="P39" s="277">
        <f>P38-M32</f>
        <v>0</v>
      </c>
    </row>
    <row r="40" spans="3:19" x14ac:dyDescent="0.3">
      <c r="H40" s="61"/>
      <c r="I40" s="61"/>
      <c r="N40" s="425" t="s">
        <v>15</v>
      </c>
      <c r="O40" s="273">
        <f>L47</f>
        <v>122</v>
      </c>
      <c r="P40" s="277">
        <f>O40-N32</f>
        <v>99</v>
      </c>
    </row>
    <row r="41" spans="3:19" x14ac:dyDescent="0.3">
      <c r="H41" s="61"/>
      <c r="I41" s="61"/>
      <c r="N41" s="425" t="s">
        <v>17</v>
      </c>
      <c r="O41" s="273"/>
      <c r="P41" s="277">
        <f>P40-O32</f>
        <v>75</v>
      </c>
    </row>
    <row r="42" spans="3:19" x14ac:dyDescent="0.3">
      <c r="H42" s="273" t="s">
        <v>152</v>
      </c>
      <c r="I42" s="273"/>
      <c r="N42" s="425" t="s">
        <v>19</v>
      </c>
      <c r="O42" s="273"/>
      <c r="P42" s="277">
        <f>P41-P32</f>
        <v>55</v>
      </c>
    </row>
    <row r="43" spans="3:19" x14ac:dyDescent="0.3">
      <c r="H43" s="273" t="s">
        <v>125</v>
      </c>
      <c r="I43" s="273">
        <f>D33/N32</f>
        <v>100</v>
      </c>
      <c r="N43" s="425" t="s">
        <v>21</v>
      </c>
      <c r="O43" s="273"/>
      <c r="P43" s="277">
        <f>P42-Q32</f>
        <v>30</v>
      </c>
    </row>
    <row r="44" spans="3:19" x14ac:dyDescent="0.3">
      <c r="H44" s="273" t="s">
        <v>130</v>
      </c>
      <c r="I44" s="273">
        <f>(D33+D34*O32)/(N32+O32)</f>
        <v>53.328680851063829</v>
      </c>
      <c r="N44" s="425" t="s">
        <v>23</v>
      </c>
      <c r="O44" s="273"/>
      <c r="P44" s="277">
        <f>P43-R32</f>
        <v>0</v>
      </c>
    </row>
    <row r="45" spans="3:19" x14ac:dyDescent="0.3">
      <c r="H45" s="273" t="s">
        <v>132</v>
      </c>
      <c r="I45" s="273">
        <f>(D33+D34*O32+2*D34*P32)/(N32+O32+P32)</f>
        <v>42.545194029850741</v>
      </c>
      <c r="N45" s="425" t="s">
        <v>28</v>
      </c>
      <c r="O45" s="273">
        <v>19</v>
      </c>
      <c r="P45" s="277">
        <f>O45-S32</f>
        <v>0</v>
      </c>
    </row>
    <row r="46" spans="3:19" x14ac:dyDescent="0.3">
      <c r="H46" s="273" t="s">
        <v>134</v>
      </c>
      <c r="I46" s="273">
        <f>(D33+D34*O32+2*D34*P32+3*D34*Q32)/(N32+O32+P32+Q32)</f>
        <v>37.996499999999997</v>
      </c>
      <c r="O46" s="273" t="s">
        <v>142</v>
      </c>
      <c r="P46" s="277">
        <f>SUM(P35:P45)</f>
        <v>574</v>
      </c>
    </row>
    <row r="47" spans="3:19" x14ac:dyDescent="0.3">
      <c r="H47" s="273" t="s">
        <v>135</v>
      </c>
      <c r="I47" s="271">
        <f>(D33+D34*O32+2*D34*P32+3*D34*Q32+4*D34*R32)/(N32+O32+P32+Q32+R32)</f>
        <v>37.11408196721311</v>
      </c>
      <c r="J47" s="273"/>
      <c r="K47" s="273" t="s">
        <v>153</v>
      </c>
      <c r="L47" s="273">
        <f>SUM(N32:R32)</f>
        <v>122</v>
      </c>
    </row>
    <row r="48" spans="3:19" x14ac:dyDescent="0.3">
      <c r="H48" s="273" t="s">
        <v>136</v>
      </c>
      <c r="I48" s="273">
        <f>(D33+D34*O32+2*D34*P32+3*D34*Q32+4*D34*R32+5*D34*S32)/(N32+O32+P32+Q32+R32+S32)</f>
        <v>37.908567375886527</v>
      </c>
    </row>
    <row r="53" spans="3:19" x14ac:dyDescent="0.3">
      <c r="G53" s="265" t="s">
        <v>100</v>
      </c>
      <c r="H53" s="530" t="s">
        <v>78</v>
      </c>
      <c r="I53" s="295">
        <v>34</v>
      </c>
      <c r="J53" s="266">
        <v>33</v>
      </c>
      <c r="K53" s="265">
        <v>38</v>
      </c>
      <c r="L53" s="265">
        <v>34</v>
      </c>
      <c r="M53" s="265">
        <v>26</v>
      </c>
      <c r="N53" s="265">
        <v>23</v>
      </c>
      <c r="O53" s="265">
        <v>24</v>
      </c>
      <c r="P53" s="265">
        <v>20</v>
      </c>
      <c r="Q53" s="265">
        <v>25</v>
      </c>
      <c r="R53" s="265">
        <v>30</v>
      </c>
      <c r="S53" s="265">
        <v>19</v>
      </c>
    </row>
    <row r="54" spans="3:19" x14ac:dyDescent="0.3">
      <c r="C54" t="s">
        <v>122</v>
      </c>
      <c r="D54">
        <v>2300</v>
      </c>
      <c r="H54" s="531" t="s">
        <v>144</v>
      </c>
      <c r="I54" s="532"/>
    </row>
    <row r="55" spans="3:19" x14ac:dyDescent="0.3">
      <c r="C55" t="s">
        <v>73</v>
      </c>
      <c r="D55">
        <v>8.6020000000000003</v>
      </c>
      <c r="H55" s="531">
        <v>1</v>
      </c>
      <c r="I55" s="531">
        <v>0</v>
      </c>
      <c r="N55" s="268"/>
      <c r="O55" s="268" t="s">
        <v>127</v>
      </c>
      <c r="P55" s="268" t="s">
        <v>128</v>
      </c>
      <c r="R55" s="265" t="s">
        <v>129</v>
      </c>
      <c r="S55" s="265">
        <f>3*D54</f>
        <v>6900</v>
      </c>
    </row>
    <row r="56" spans="3:19" x14ac:dyDescent="0.3">
      <c r="H56" s="531">
        <v>2</v>
      </c>
      <c r="I56" s="531">
        <f>D55*J53</f>
        <v>283.86599999999999</v>
      </c>
      <c r="N56" s="426" t="s">
        <v>5</v>
      </c>
      <c r="O56" s="265">
        <f>L59</f>
        <v>165</v>
      </c>
      <c r="P56" s="269">
        <f>O56-I53</f>
        <v>131</v>
      </c>
      <c r="R56" s="265" t="s">
        <v>149</v>
      </c>
      <c r="S56" s="265">
        <f>D55*P67</f>
        <v>4937.5479999999998</v>
      </c>
    </row>
    <row r="57" spans="3:19" x14ac:dyDescent="0.3">
      <c r="H57" s="531">
        <v>3</v>
      </c>
      <c r="I57" s="531">
        <f>D55*J53+2*D55*K53</f>
        <v>937.61800000000005</v>
      </c>
      <c r="N57" s="426" t="s">
        <v>7</v>
      </c>
      <c r="O57" s="265"/>
      <c r="P57" s="269">
        <f>P56-J53</f>
        <v>98</v>
      </c>
      <c r="R57" s="265" t="s">
        <v>133</v>
      </c>
      <c r="S57" s="265">
        <f>S55+S56</f>
        <v>11837.547999999999</v>
      </c>
    </row>
    <row r="58" spans="3:19" x14ac:dyDescent="0.3">
      <c r="H58" s="531">
        <v>4</v>
      </c>
      <c r="I58" s="531">
        <f>D55*J53+2*D55*K53+3*D55*L53</f>
        <v>1815.0219999999999</v>
      </c>
      <c r="N58" s="426" t="s">
        <v>9</v>
      </c>
      <c r="O58" s="265"/>
      <c r="P58" s="269">
        <f>P57-K53</f>
        <v>60</v>
      </c>
    </row>
    <row r="59" spans="3:19" x14ac:dyDescent="0.3">
      <c r="H59" s="531">
        <v>5</v>
      </c>
      <c r="I59" s="531">
        <f>D55*J53+2*D55*K53+3*D55*L53+4*D55*M53</f>
        <v>2709.63</v>
      </c>
      <c r="J59" s="267"/>
      <c r="K59" s="267" t="s">
        <v>126</v>
      </c>
      <c r="L59" s="267">
        <f>SUM(I53:M53)</f>
        <v>165</v>
      </c>
      <c r="N59" s="426" t="s">
        <v>11</v>
      </c>
      <c r="O59" s="265"/>
      <c r="P59" s="269">
        <f>P58-L53</f>
        <v>26</v>
      </c>
    </row>
    <row r="60" spans="3:19" x14ac:dyDescent="0.3">
      <c r="H60" s="531">
        <v>6</v>
      </c>
      <c r="I60" s="531">
        <f>D55*J53+2*D55*K53+3*D55*L53+4*D55*M53+5*D55*N53</f>
        <v>3698.86</v>
      </c>
      <c r="N60" s="426" t="s">
        <v>13</v>
      </c>
      <c r="O60" s="265"/>
      <c r="P60" s="269">
        <f>P59-M53</f>
        <v>0</v>
      </c>
    </row>
    <row r="61" spans="3:19" x14ac:dyDescent="0.3">
      <c r="H61" s="533"/>
      <c r="I61" s="533"/>
      <c r="N61" s="426" t="s">
        <v>15</v>
      </c>
      <c r="O61" s="265">
        <f>L67</f>
        <v>122</v>
      </c>
      <c r="P61" s="269">
        <f>O61-N53</f>
        <v>99</v>
      </c>
    </row>
    <row r="62" spans="3:19" x14ac:dyDescent="0.3">
      <c r="H62" s="531" t="s">
        <v>152</v>
      </c>
      <c r="I62" s="531"/>
      <c r="N62" s="426" t="s">
        <v>17</v>
      </c>
      <c r="O62" s="265"/>
      <c r="P62" s="269">
        <f>P61-O53</f>
        <v>75</v>
      </c>
    </row>
    <row r="63" spans="3:19" x14ac:dyDescent="0.3">
      <c r="H63" s="531">
        <v>1</v>
      </c>
      <c r="I63" s="531">
        <v>0</v>
      </c>
      <c r="N63" s="426" t="s">
        <v>19</v>
      </c>
      <c r="O63" s="265"/>
      <c r="P63" s="269">
        <f>P62-P53</f>
        <v>55</v>
      </c>
    </row>
    <row r="64" spans="3:19" x14ac:dyDescent="0.3">
      <c r="H64" s="531">
        <v>2</v>
      </c>
      <c r="I64" s="531">
        <f>O53*D55</f>
        <v>206.44800000000001</v>
      </c>
      <c r="N64" s="426" t="s">
        <v>21</v>
      </c>
      <c r="O64" s="265"/>
      <c r="P64" s="269">
        <f>P63-Q53</f>
        <v>30</v>
      </c>
    </row>
    <row r="65" spans="8:16" x14ac:dyDescent="0.3">
      <c r="H65" s="531">
        <v>3</v>
      </c>
      <c r="I65" s="532">
        <f>O53*D55+2*D55*P53</f>
        <v>550.52800000000002</v>
      </c>
      <c r="N65" s="426" t="s">
        <v>23</v>
      </c>
      <c r="O65" s="265"/>
      <c r="P65" s="269">
        <f>P64-R53</f>
        <v>0</v>
      </c>
    </row>
    <row r="66" spans="8:16" x14ac:dyDescent="0.3">
      <c r="H66" s="531">
        <v>4</v>
      </c>
      <c r="I66" s="531">
        <f>O53*D55+2*D55*P53+3*D55*Q53</f>
        <v>1195.6779999999999</v>
      </c>
      <c r="N66" s="426" t="s">
        <v>28</v>
      </c>
      <c r="O66" s="265">
        <v>19</v>
      </c>
      <c r="P66" s="269">
        <f>O66-S53</f>
        <v>0</v>
      </c>
    </row>
    <row r="67" spans="8:16" x14ac:dyDescent="0.3">
      <c r="H67" s="531">
        <v>5</v>
      </c>
      <c r="I67" s="531">
        <f>O53*D55+2*D55*P53+3*D55*Q53+4*D55*R53</f>
        <v>2227.9179999999997</v>
      </c>
      <c r="J67" s="267"/>
      <c r="K67" s="267" t="s">
        <v>153</v>
      </c>
      <c r="L67" s="267">
        <f>SUM(N53:R53)</f>
        <v>122</v>
      </c>
      <c r="O67" s="267" t="s">
        <v>142</v>
      </c>
      <c r="P67" s="270">
        <f>SUM(P56:P66)</f>
        <v>574</v>
      </c>
    </row>
    <row r="68" spans="8:16" x14ac:dyDescent="0.3">
      <c r="H68" s="531">
        <v>6</v>
      </c>
      <c r="I68" s="531">
        <f>O53*D55+2*D55*P53+3*D55*Q53+4*D55*R53+5*D55*S53</f>
        <v>3045.1079999999997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D413-67A1-4A7F-BC02-B52277BCA6F1}">
  <dimension ref="A1:S64"/>
  <sheetViews>
    <sheetView zoomScale="77" workbookViewId="0">
      <selection activeCell="R8" sqref="R8"/>
    </sheetView>
  </sheetViews>
  <sheetFormatPr defaultColWidth="11.44140625" defaultRowHeight="14.4" x14ac:dyDescent="0.3"/>
  <cols>
    <col min="7" max="7" width="23.109375" customWidth="1"/>
  </cols>
  <sheetData>
    <row r="1" spans="1:19" x14ac:dyDescent="0.3">
      <c r="A1" s="265" t="s">
        <v>154</v>
      </c>
      <c r="B1" s="265" t="s">
        <v>1</v>
      </c>
      <c r="C1" s="265" t="s">
        <v>2</v>
      </c>
      <c r="F1" s="359" t="s">
        <v>40</v>
      </c>
      <c r="G1" s="352" t="s">
        <v>26</v>
      </c>
      <c r="H1" s="352" t="s">
        <v>27</v>
      </c>
      <c r="I1" s="352" t="s">
        <v>5</v>
      </c>
      <c r="J1" s="352" t="s">
        <v>7</v>
      </c>
      <c r="K1" s="352" t="s">
        <v>9</v>
      </c>
      <c r="L1" s="352" t="s">
        <v>11</v>
      </c>
      <c r="M1" s="352" t="s">
        <v>13</v>
      </c>
      <c r="N1" s="352" t="s">
        <v>15</v>
      </c>
      <c r="O1" s="352" t="s">
        <v>17</v>
      </c>
      <c r="P1" s="352" t="s">
        <v>19</v>
      </c>
      <c r="Q1" s="352" t="s">
        <v>21</v>
      </c>
      <c r="R1" s="352" t="s">
        <v>23</v>
      </c>
      <c r="S1" s="352" t="s">
        <v>28</v>
      </c>
    </row>
    <row r="2" spans="1:19" x14ac:dyDescent="0.3">
      <c r="A2" s="426" t="s">
        <v>5</v>
      </c>
      <c r="B2" s="265">
        <v>14</v>
      </c>
      <c r="C2" s="375">
        <v>13.923076923076923</v>
      </c>
      <c r="D2" s="115">
        <v>14</v>
      </c>
      <c r="G2" s="363" t="s">
        <v>32</v>
      </c>
      <c r="H2" s="363"/>
      <c r="I2" s="350">
        <v>14</v>
      </c>
      <c r="J2" s="350">
        <v>15</v>
      </c>
      <c r="K2" s="350">
        <v>15</v>
      </c>
      <c r="L2" s="350">
        <v>13</v>
      </c>
      <c r="M2" s="350">
        <v>11</v>
      </c>
      <c r="N2" s="350">
        <v>10</v>
      </c>
      <c r="O2" s="350">
        <v>12</v>
      </c>
      <c r="P2" s="350">
        <v>11</v>
      </c>
      <c r="Q2" s="350">
        <v>11</v>
      </c>
      <c r="R2" s="350">
        <v>10</v>
      </c>
      <c r="S2" s="350">
        <v>9</v>
      </c>
    </row>
    <row r="3" spans="1:19" x14ac:dyDescent="0.3">
      <c r="A3" s="426" t="s">
        <v>7</v>
      </c>
      <c r="B3" s="265">
        <v>4</v>
      </c>
      <c r="C3" s="375">
        <v>14.692307692307692</v>
      </c>
      <c r="D3" s="115">
        <v>15</v>
      </c>
      <c r="G3" s="363" t="s">
        <v>35</v>
      </c>
      <c r="H3" s="350">
        <v>14</v>
      </c>
      <c r="I3" s="350">
        <v>15</v>
      </c>
      <c r="J3" s="350">
        <v>15</v>
      </c>
      <c r="K3" s="350">
        <v>13</v>
      </c>
      <c r="L3" s="350">
        <v>11</v>
      </c>
      <c r="M3" s="350">
        <v>10</v>
      </c>
      <c r="N3" s="350">
        <v>12</v>
      </c>
      <c r="O3" s="350">
        <v>11</v>
      </c>
      <c r="P3" s="350">
        <v>11</v>
      </c>
      <c r="Q3" s="350">
        <v>10</v>
      </c>
      <c r="R3" s="350">
        <v>9</v>
      </c>
      <c r="S3" s="565"/>
    </row>
    <row r="4" spans="1:19" x14ac:dyDescent="0.3">
      <c r="A4" s="426" t="s">
        <v>9</v>
      </c>
      <c r="B4" s="265">
        <v>14</v>
      </c>
      <c r="C4" s="375">
        <v>15</v>
      </c>
      <c r="D4" s="115">
        <v>15</v>
      </c>
      <c r="G4" s="363" t="s">
        <v>40</v>
      </c>
      <c r="H4" s="350">
        <v>60</v>
      </c>
      <c r="I4" s="350">
        <v>0</v>
      </c>
      <c r="J4" s="350">
        <v>0</v>
      </c>
      <c r="K4" s="350">
        <v>0</v>
      </c>
      <c r="L4" s="350">
        <v>60</v>
      </c>
      <c r="M4" s="350">
        <v>0</v>
      </c>
      <c r="N4" s="350">
        <v>0</v>
      </c>
      <c r="O4" s="350">
        <v>0</v>
      </c>
      <c r="P4" s="350">
        <v>0</v>
      </c>
      <c r="Q4" s="350">
        <v>60</v>
      </c>
      <c r="R4" s="350">
        <v>0</v>
      </c>
      <c r="S4" s="350"/>
    </row>
    <row r="5" spans="1:19" x14ac:dyDescent="0.3">
      <c r="A5" s="426" t="s">
        <v>11</v>
      </c>
      <c r="B5" s="265">
        <v>8</v>
      </c>
      <c r="C5" s="375">
        <v>13</v>
      </c>
      <c r="D5" s="115">
        <v>13</v>
      </c>
      <c r="G5" s="363" t="s">
        <v>43</v>
      </c>
      <c r="H5" s="350"/>
      <c r="I5" s="350">
        <v>60</v>
      </c>
      <c r="J5" s="350">
        <v>0</v>
      </c>
      <c r="K5" s="350">
        <v>0</v>
      </c>
      <c r="L5" s="350">
        <v>0</v>
      </c>
      <c r="M5" s="350">
        <v>60</v>
      </c>
      <c r="N5" s="350">
        <v>0</v>
      </c>
      <c r="O5" s="350">
        <v>0</v>
      </c>
      <c r="P5" s="350">
        <v>0</v>
      </c>
      <c r="Q5" s="350">
        <v>0</v>
      </c>
      <c r="R5" s="350">
        <v>60</v>
      </c>
      <c r="S5" s="350">
        <v>0</v>
      </c>
    </row>
    <row r="6" spans="1:19" x14ac:dyDescent="0.3">
      <c r="A6" s="426" t="s">
        <v>13</v>
      </c>
      <c r="B6" s="265">
        <v>0</v>
      </c>
      <c r="C6" s="375">
        <v>11.307692307692308</v>
      </c>
      <c r="D6" s="115">
        <v>11</v>
      </c>
      <c r="G6" s="363" t="s">
        <v>45</v>
      </c>
      <c r="H6" s="352"/>
      <c r="I6" s="350">
        <f>H4-I2</f>
        <v>46</v>
      </c>
      <c r="J6" s="350">
        <f>I6+I4-J2</f>
        <v>31</v>
      </c>
      <c r="K6" s="350">
        <f>J6+J4-K2</f>
        <v>16</v>
      </c>
      <c r="L6" s="350">
        <f>K6+K4-L2</f>
        <v>3</v>
      </c>
      <c r="M6" s="350">
        <f>L4+L6-M2</f>
        <v>52</v>
      </c>
      <c r="N6" s="350">
        <f>M6+M4-N2</f>
        <v>42</v>
      </c>
      <c r="O6" s="350">
        <f t="shared" ref="O6:S6" si="0">N6+N4-O2</f>
        <v>30</v>
      </c>
      <c r="P6" s="350">
        <f t="shared" si="0"/>
        <v>19</v>
      </c>
      <c r="Q6" s="350">
        <f t="shared" si="0"/>
        <v>8</v>
      </c>
      <c r="R6" s="350">
        <f t="shared" si="0"/>
        <v>58</v>
      </c>
      <c r="S6" s="350">
        <f t="shared" si="0"/>
        <v>49</v>
      </c>
    </row>
    <row r="7" spans="1:19" x14ac:dyDescent="0.3">
      <c r="A7" s="426" t="s">
        <v>15</v>
      </c>
      <c r="B7" s="265">
        <v>25</v>
      </c>
      <c r="C7" s="375">
        <v>10.384615384615385</v>
      </c>
      <c r="D7" s="115">
        <v>10</v>
      </c>
      <c r="G7" s="363" t="s">
        <v>129</v>
      </c>
      <c r="H7" s="115">
        <f>3*B15</f>
        <v>6900</v>
      </c>
    </row>
    <row r="8" spans="1:19" x14ac:dyDescent="0.3">
      <c r="A8" s="426" t="s">
        <v>17</v>
      </c>
      <c r="B8" s="265">
        <v>4</v>
      </c>
      <c r="C8" s="375">
        <v>11.615384615384615</v>
      </c>
      <c r="D8" s="115">
        <v>12</v>
      </c>
      <c r="G8" s="363" t="s">
        <v>149</v>
      </c>
      <c r="H8" s="115">
        <f>SUM(I6:S6)*B18</f>
        <v>5495.85</v>
      </c>
    </row>
    <row r="9" spans="1:19" x14ac:dyDescent="0.3">
      <c r="A9" s="426" t="s">
        <v>19</v>
      </c>
      <c r="B9" s="265">
        <v>0</v>
      </c>
      <c r="C9" s="375">
        <v>11</v>
      </c>
      <c r="D9" s="115">
        <v>11</v>
      </c>
      <c r="G9" s="363" t="s">
        <v>133</v>
      </c>
      <c r="H9" s="115">
        <f>H7+H8</f>
        <v>12395.85</v>
      </c>
    </row>
    <row r="10" spans="1:19" x14ac:dyDescent="0.3">
      <c r="A10" s="426" t="s">
        <v>21</v>
      </c>
      <c r="B10" s="265">
        <v>0</v>
      </c>
      <c r="C10" s="375">
        <v>10.538461538461538</v>
      </c>
      <c r="D10" s="115">
        <v>11</v>
      </c>
    </row>
    <row r="11" spans="1:19" x14ac:dyDescent="0.3">
      <c r="A11" s="426" t="s">
        <v>23</v>
      </c>
      <c r="B11" s="265">
        <v>4</v>
      </c>
      <c r="C11" s="375">
        <v>9.7692307692307701</v>
      </c>
      <c r="D11" s="115">
        <v>10</v>
      </c>
    </row>
    <row r="12" spans="1:19" x14ac:dyDescent="0.3">
      <c r="A12" s="426" t="s">
        <v>28</v>
      </c>
      <c r="B12" s="295">
        <v>0</v>
      </c>
      <c r="C12" s="376">
        <v>9.4615384615384617</v>
      </c>
      <c r="D12" s="115">
        <v>9</v>
      </c>
      <c r="G12" s="288" t="s">
        <v>77</v>
      </c>
      <c r="H12" s="287" t="s">
        <v>78</v>
      </c>
      <c r="I12" s="286">
        <v>14</v>
      </c>
      <c r="J12" s="285">
        <v>15</v>
      </c>
      <c r="K12" s="285">
        <v>15</v>
      </c>
      <c r="L12" s="285">
        <v>13</v>
      </c>
      <c r="M12" s="285">
        <v>11</v>
      </c>
      <c r="N12" s="285">
        <v>10</v>
      </c>
      <c r="O12" s="285">
        <v>12</v>
      </c>
      <c r="P12" s="285">
        <v>11</v>
      </c>
      <c r="Q12" s="285">
        <v>11</v>
      </c>
      <c r="R12" s="285">
        <v>10</v>
      </c>
      <c r="S12" s="285">
        <v>9</v>
      </c>
    </row>
    <row r="13" spans="1:19" x14ac:dyDescent="0.3">
      <c r="B13" s="115" t="s">
        <v>72</v>
      </c>
      <c r="C13" s="115">
        <f>AVERAGE(C2:C12)</f>
        <v>11.88111888111888</v>
      </c>
      <c r="H13" s="285" t="s">
        <v>124</v>
      </c>
      <c r="I13" s="285"/>
    </row>
    <row r="14" spans="1:19" ht="12.75" customHeight="1" x14ac:dyDescent="0.3">
      <c r="B14" s="115" t="s">
        <v>38</v>
      </c>
      <c r="C14" s="115">
        <f>SQRT(2*B15*C13/B18)</f>
        <v>59.332381718008925</v>
      </c>
      <c r="H14" s="285" t="s">
        <v>125</v>
      </c>
      <c r="I14" s="285">
        <f>B15</f>
        <v>2300</v>
      </c>
      <c r="N14" s="268"/>
      <c r="O14" s="268" t="s">
        <v>127</v>
      </c>
      <c r="P14" s="268" t="s">
        <v>128</v>
      </c>
      <c r="R14" s="265" t="s">
        <v>129</v>
      </c>
      <c r="S14" s="265">
        <f>2*B15</f>
        <v>4600</v>
      </c>
    </row>
    <row r="15" spans="1:19" x14ac:dyDescent="0.3">
      <c r="A15" s="138" t="s">
        <v>122</v>
      </c>
      <c r="B15" s="197">
        <v>2300</v>
      </c>
      <c r="H15" s="285" t="s">
        <v>130</v>
      </c>
      <c r="I15" s="285">
        <f>(B15+B18*J12)/2</f>
        <v>1266.4375</v>
      </c>
      <c r="N15" s="426" t="s">
        <v>5</v>
      </c>
      <c r="O15" s="265">
        <v>90</v>
      </c>
      <c r="P15" s="269">
        <f>O15-I12</f>
        <v>76</v>
      </c>
      <c r="R15" s="265" t="s">
        <v>149</v>
      </c>
      <c r="S15" s="265">
        <f>P26*B18</f>
        <v>4781.7</v>
      </c>
    </row>
    <row r="16" spans="1:19" x14ac:dyDescent="0.3">
      <c r="A16" s="138" t="s">
        <v>143</v>
      </c>
      <c r="B16" s="138">
        <v>0.46</v>
      </c>
      <c r="H16" s="285" t="s">
        <v>132</v>
      </c>
      <c r="I16" s="285">
        <f>(B15+B18*J12+2*B18*K12)/3</f>
        <v>999.54166666666663</v>
      </c>
      <c r="N16" s="426" t="s">
        <v>7</v>
      </c>
      <c r="O16" s="265"/>
      <c r="P16" s="269">
        <f>P15-J12</f>
        <v>61</v>
      </c>
      <c r="R16" s="265" t="s">
        <v>133</v>
      </c>
      <c r="S16" s="265">
        <f>S14+S15</f>
        <v>9381.7000000000007</v>
      </c>
    </row>
    <row r="17" spans="1:19" x14ac:dyDescent="0.3">
      <c r="A17" s="138" t="s">
        <v>70</v>
      </c>
      <c r="B17" s="138">
        <v>33.75</v>
      </c>
      <c r="H17" s="285" t="s">
        <v>134</v>
      </c>
      <c r="I17" s="285">
        <f>(B15+B18*J12+2*B18*K12+3*B18*L12)/4</f>
        <v>901.02499999999998</v>
      </c>
      <c r="N17" s="426" t="s">
        <v>9</v>
      </c>
      <c r="O17" s="265"/>
      <c r="P17" s="269">
        <f>P16-K12</f>
        <v>46</v>
      </c>
    </row>
    <row r="18" spans="1:19" x14ac:dyDescent="0.3">
      <c r="A18" s="138" t="s">
        <v>73</v>
      </c>
      <c r="B18" s="138">
        <f>B16*B17</f>
        <v>15.525</v>
      </c>
      <c r="H18" s="285" t="s">
        <v>135</v>
      </c>
      <c r="I18" s="285">
        <f>(B15+B18*J12+2*B18*K12+3*B18*L12+4*B18*M12)/5</f>
        <v>857.43999999999994</v>
      </c>
      <c r="N18" s="426" t="s">
        <v>11</v>
      </c>
      <c r="O18" s="265"/>
      <c r="P18" s="269">
        <f>P17-L12</f>
        <v>33</v>
      </c>
    </row>
    <row r="19" spans="1:19" x14ac:dyDescent="0.3">
      <c r="H19" s="285" t="s">
        <v>136</v>
      </c>
      <c r="I19" s="285">
        <f>(B15+B18*J12+2*B18*K12+3*B18*L12+4*B18*M12+5*B18*N12)/6</f>
        <v>843.9083333333333</v>
      </c>
      <c r="N19" s="426" t="s">
        <v>13</v>
      </c>
      <c r="O19" s="265"/>
      <c r="P19" s="269">
        <f>P18-M12</f>
        <v>22</v>
      </c>
    </row>
    <row r="20" spans="1:19" x14ac:dyDescent="0.3">
      <c r="H20" s="285" t="s">
        <v>137</v>
      </c>
      <c r="I20" s="286">
        <f>(B15+B18*J12+2*B18*K12+3*B18*L12+4*B18*M12+5*B18*N12+6*B18*O12)/7</f>
        <v>883.03571428571433</v>
      </c>
      <c r="J20" s="285"/>
      <c r="K20" s="285" t="s">
        <v>126</v>
      </c>
      <c r="L20" s="285">
        <f>SUM(I12:O12)</f>
        <v>90</v>
      </c>
      <c r="N20" s="426" t="s">
        <v>15</v>
      </c>
      <c r="O20" s="265"/>
      <c r="P20" s="269">
        <f>P19-N12</f>
        <v>12</v>
      </c>
    </row>
    <row r="21" spans="1:19" x14ac:dyDescent="0.3">
      <c r="H21" s="285" t="s">
        <v>138</v>
      </c>
      <c r="I21" s="285">
        <f>(B15+B18*J12+2*B18*K12+3*B18*L12+4*B18*M12+5*B18*N12+6*B18*O12+7*B18*P12)/8</f>
        <v>922.08437500000002</v>
      </c>
      <c r="N21" s="426" t="s">
        <v>17</v>
      </c>
      <c r="O21" s="265"/>
      <c r="P21" s="269">
        <f>P20-O12</f>
        <v>0</v>
      </c>
    </row>
    <row r="22" spans="1:19" x14ac:dyDescent="0.3">
      <c r="H22" s="285"/>
      <c r="I22" s="285"/>
      <c r="N22" s="426" t="s">
        <v>19</v>
      </c>
      <c r="O22" s="265">
        <v>41</v>
      </c>
      <c r="P22" s="269">
        <f>O22-P12</f>
        <v>30</v>
      </c>
    </row>
    <row r="23" spans="1:19" x14ac:dyDescent="0.3">
      <c r="H23" s="285" t="s">
        <v>155</v>
      </c>
      <c r="I23" s="285"/>
      <c r="N23" s="426" t="s">
        <v>21</v>
      </c>
      <c r="O23" s="265"/>
      <c r="P23" s="269">
        <f>P22-Q12</f>
        <v>19</v>
      </c>
    </row>
    <row r="24" spans="1:19" x14ac:dyDescent="0.3">
      <c r="H24" s="285" t="s">
        <v>125</v>
      </c>
      <c r="I24" s="285">
        <v>2300</v>
      </c>
      <c r="N24" s="426" t="s">
        <v>23</v>
      </c>
      <c r="O24" s="265"/>
      <c r="P24" s="269">
        <f>P23-R12</f>
        <v>9</v>
      </c>
    </row>
    <row r="25" spans="1:19" x14ac:dyDescent="0.3">
      <c r="H25" s="285" t="s">
        <v>130</v>
      </c>
      <c r="I25" s="285">
        <f>(B15+B18*Q12)/2</f>
        <v>1235.3875</v>
      </c>
      <c r="N25" s="426" t="s">
        <v>28</v>
      </c>
      <c r="O25" s="295"/>
      <c r="P25" s="296">
        <f>P24-S12</f>
        <v>0</v>
      </c>
    </row>
    <row r="26" spans="1:19" x14ac:dyDescent="0.3">
      <c r="H26" s="285" t="s">
        <v>132</v>
      </c>
      <c r="I26" s="285">
        <f>(B15+B18*Q12+2*B18*R12)/3</f>
        <v>927.0916666666667</v>
      </c>
      <c r="O26" s="265" t="s">
        <v>142</v>
      </c>
      <c r="P26" s="269">
        <f>SUM(P15:P25)</f>
        <v>308</v>
      </c>
    </row>
    <row r="27" spans="1:19" x14ac:dyDescent="0.3">
      <c r="H27" s="285" t="s">
        <v>134</v>
      </c>
      <c r="I27" s="285">
        <f>(B15+B18*Q12+2*B18*R12+3*S12*B18)/4</f>
        <v>800.11250000000007</v>
      </c>
      <c r="K27" s="285" t="s">
        <v>156</v>
      </c>
      <c r="L27" s="285">
        <f>SUM(P12:S12)</f>
        <v>41</v>
      </c>
    </row>
    <row r="32" spans="1:19" x14ac:dyDescent="0.3">
      <c r="G32" s="291" t="s">
        <v>96</v>
      </c>
      <c r="H32" s="301" t="s">
        <v>78</v>
      </c>
      <c r="I32" s="302">
        <v>14</v>
      </c>
      <c r="J32" s="303">
        <v>15</v>
      </c>
      <c r="K32" s="303">
        <v>15</v>
      </c>
      <c r="L32" s="303">
        <v>13</v>
      </c>
      <c r="M32" s="290">
        <v>11</v>
      </c>
      <c r="N32" s="290">
        <v>10</v>
      </c>
      <c r="O32" s="290">
        <v>12</v>
      </c>
      <c r="P32" s="290">
        <v>11</v>
      </c>
      <c r="Q32" s="290">
        <v>11</v>
      </c>
      <c r="R32" s="290">
        <v>10</v>
      </c>
      <c r="S32" s="290">
        <v>9</v>
      </c>
    </row>
    <row r="33" spans="3:19" x14ac:dyDescent="0.3">
      <c r="C33" s="293" t="s">
        <v>122</v>
      </c>
      <c r="D33" s="293">
        <v>2300</v>
      </c>
      <c r="H33" s="293" t="s">
        <v>144</v>
      </c>
      <c r="I33" s="293"/>
      <c r="J33" s="115"/>
      <c r="K33" s="115"/>
      <c r="L33" s="115"/>
    </row>
    <row r="34" spans="3:19" x14ac:dyDescent="0.3">
      <c r="C34" s="293" t="s">
        <v>73</v>
      </c>
      <c r="D34" s="293">
        <v>15.525</v>
      </c>
      <c r="H34" s="293" t="s">
        <v>125</v>
      </c>
      <c r="I34" s="293">
        <f>D33/I32</f>
        <v>164.28571428571428</v>
      </c>
      <c r="J34" s="115"/>
      <c r="K34" s="115"/>
      <c r="L34" s="115"/>
      <c r="N34" s="292"/>
      <c r="O34" s="292" t="s">
        <v>127</v>
      </c>
      <c r="P34" s="292" t="s">
        <v>128</v>
      </c>
    </row>
    <row r="35" spans="3:19" x14ac:dyDescent="0.3">
      <c r="H35" s="293" t="s">
        <v>130</v>
      </c>
      <c r="I35" s="293">
        <f>(D33+D34*J32)/(I32+J32)</f>
        <v>87.340517241379317</v>
      </c>
      <c r="J35" s="115"/>
      <c r="K35" s="115"/>
      <c r="L35" s="115"/>
      <c r="N35" s="427" t="s">
        <v>5</v>
      </c>
      <c r="O35" s="293">
        <v>68</v>
      </c>
      <c r="P35" s="294">
        <f>O35-I32</f>
        <v>54</v>
      </c>
      <c r="R35" s="293" t="s">
        <v>129</v>
      </c>
      <c r="S35" s="293">
        <f>3*D33</f>
        <v>6900</v>
      </c>
    </row>
    <row r="36" spans="3:19" x14ac:dyDescent="0.3">
      <c r="H36" s="293" t="s">
        <v>132</v>
      </c>
      <c r="I36" s="293">
        <f>(D33+D34*J32+2*D34*K32)/(I32+J32+K32)</f>
        <v>68.150568181818187</v>
      </c>
      <c r="J36" s="115"/>
      <c r="K36" s="115"/>
      <c r="L36" s="115"/>
      <c r="N36" s="427" t="s">
        <v>7</v>
      </c>
      <c r="O36" s="293"/>
      <c r="P36" s="294">
        <f>P35-J32</f>
        <v>39</v>
      </c>
      <c r="R36" s="293" t="s">
        <v>149</v>
      </c>
      <c r="S36" s="293">
        <f>P46*D34</f>
        <v>3648.375</v>
      </c>
    </row>
    <row r="37" spans="3:19" x14ac:dyDescent="0.3">
      <c r="H37" s="293" t="s">
        <v>134</v>
      </c>
      <c r="I37" s="293">
        <f>(D33+D34*J32+2*D34*K32+3*D34*L32)/(I32+J32+K32+L32)</f>
        <v>63.229824561403504</v>
      </c>
      <c r="J37" s="115"/>
      <c r="K37" s="115"/>
      <c r="L37" s="115"/>
      <c r="N37" s="427" t="s">
        <v>9</v>
      </c>
      <c r="O37" s="293"/>
      <c r="P37" s="294">
        <f>P36-K32</f>
        <v>24</v>
      </c>
      <c r="R37" s="293" t="s">
        <v>133</v>
      </c>
      <c r="S37" s="293">
        <f>S35+S36</f>
        <v>10548.375</v>
      </c>
    </row>
    <row r="38" spans="3:19" x14ac:dyDescent="0.3">
      <c r="H38" s="293" t="s">
        <v>135</v>
      </c>
      <c r="I38" s="293">
        <f>(D33+D34*J32+2*D34*K32+3*D34*L32+4*D34*M32)/(I32+J32+K32+L32+M32)</f>
        <v>63.047058823529412</v>
      </c>
      <c r="J38" s="293"/>
      <c r="K38" s="293" t="s">
        <v>126</v>
      </c>
      <c r="L38" s="293">
        <f>SUM(I32:M32)</f>
        <v>68</v>
      </c>
      <c r="N38" s="427" t="s">
        <v>11</v>
      </c>
      <c r="O38" s="293"/>
      <c r="P38" s="294">
        <f>P37-L32</f>
        <v>11</v>
      </c>
    </row>
    <row r="39" spans="3:19" x14ac:dyDescent="0.3">
      <c r="H39" s="293" t="s">
        <v>136</v>
      </c>
      <c r="I39" s="293">
        <f>(D33+D34*J32+2*D34*K32+3*D34*L32+4*D34*M32+5*D34*N32)/(I32+J32+K32+L32+M32+N32)</f>
        <v>64.916025641025641</v>
      </c>
      <c r="J39" s="115"/>
      <c r="K39" s="115"/>
      <c r="L39" s="115"/>
      <c r="N39" s="427" t="s">
        <v>13</v>
      </c>
      <c r="O39" s="293"/>
      <c r="P39" s="294">
        <f>P38-M32</f>
        <v>0</v>
      </c>
    </row>
    <row r="40" spans="3:19" x14ac:dyDescent="0.3">
      <c r="H40" s="293"/>
      <c r="I40" s="293"/>
      <c r="J40" s="115"/>
      <c r="K40" s="115"/>
      <c r="L40" s="115"/>
      <c r="N40" s="427" t="s">
        <v>15</v>
      </c>
      <c r="O40" s="293">
        <v>54</v>
      </c>
      <c r="P40" s="294">
        <f>O40-N32</f>
        <v>44</v>
      </c>
    </row>
    <row r="41" spans="3:19" x14ac:dyDescent="0.3">
      <c r="H41" s="293" t="s">
        <v>152</v>
      </c>
      <c r="I41" s="293"/>
      <c r="J41" s="115"/>
      <c r="K41" s="115"/>
      <c r="L41" s="115"/>
      <c r="N41" s="427" t="s">
        <v>17</v>
      </c>
      <c r="O41" s="293"/>
      <c r="P41" s="294">
        <f>P40-O32</f>
        <v>32</v>
      </c>
    </row>
    <row r="42" spans="3:19" x14ac:dyDescent="0.3">
      <c r="H42" s="293" t="s">
        <v>125</v>
      </c>
      <c r="I42" s="293">
        <f>D33/N32</f>
        <v>230</v>
      </c>
      <c r="J42" s="115"/>
      <c r="K42" s="115"/>
      <c r="L42" s="115"/>
      <c r="N42" s="427" t="s">
        <v>19</v>
      </c>
      <c r="O42" s="293"/>
      <c r="P42" s="294">
        <f>P41-P32</f>
        <v>21</v>
      </c>
    </row>
    <row r="43" spans="3:19" x14ac:dyDescent="0.3">
      <c r="H43" s="293" t="s">
        <v>130</v>
      </c>
      <c r="I43" s="293">
        <f>(D33+D34*O32)/(N32+O32)</f>
        <v>113.01363636363637</v>
      </c>
      <c r="J43" s="115"/>
      <c r="K43" s="115"/>
      <c r="L43" s="115"/>
      <c r="N43" s="427" t="s">
        <v>21</v>
      </c>
      <c r="O43" s="293"/>
      <c r="P43" s="294">
        <f>P42-Q32</f>
        <v>10</v>
      </c>
    </row>
    <row r="44" spans="3:19" x14ac:dyDescent="0.3">
      <c r="H44" s="293" t="s">
        <v>132</v>
      </c>
      <c r="I44" s="293">
        <f>(D33+D34*O32+2*D34*P32)/(N32+O32+P32)</f>
        <v>85.692424242424252</v>
      </c>
      <c r="J44" s="115"/>
      <c r="K44" s="115"/>
      <c r="L44" s="115"/>
      <c r="N44" s="427" t="s">
        <v>23</v>
      </c>
      <c r="O44" s="293"/>
      <c r="P44" s="294">
        <f>P43-R32</f>
        <v>0</v>
      </c>
    </row>
    <row r="45" spans="3:19" x14ac:dyDescent="0.3">
      <c r="H45" s="293" t="s">
        <v>134</v>
      </c>
      <c r="I45" s="293">
        <f>(D33+D34*O32+2*D34*P32+3*D34*Q32)/(N32+O32+P32+Q32)</f>
        <v>75.91306818181819</v>
      </c>
      <c r="J45" s="115"/>
      <c r="K45" s="115"/>
      <c r="L45" s="115"/>
      <c r="N45" s="427" t="s">
        <v>28</v>
      </c>
      <c r="O45" s="293">
        <v>9</v>
      </c>
      <c r="P45" s="294">
        <f>O45-S32</f>
        <v>0</v>
      </c>
    </row>
    <row r="46" spans="3:19" x14ac:dyDescent="0.3">
      <c r="H46" s="293" t="s">
        <v>135</v>
      </c>
      <c r="I46" s="293">
        <f>(D33+D34*O32+2*D34*P32+3*D34*Q32+4*D34*R32)/(N32+O32+P32+Q32+R32)</f>
        <v>73.355092592592598</v>
      </c>
      <c r="J46" s="293"/>
      <c r="K46" s="293" t="s">
        <v>153</v>
      </c>
      <c r="L46" s="293">
        <f>SUM(N32:R32)</f>
        <v>54</v>
      </c>
      <c r="O46" s="293" t="s">
        <v>142</v>
      </c>
      <c r="P46" s="294">
        <f>SUM(P35:P45)</f>
        <v>235</v>
      </c>
    </row>
    <row r="47" spans="3:19" x14ac:dyDescent="0.3">
      <c r="H47" s="293" t="s">
        <v>136</v>
      </c>
      <c r="I47" s="293">
        <f>(D33+D34*O32+2*D34*P32+3*D34*Q32+4*D34*R32+5*D34*S32)/(N32+O32+P32+Q32+R32+S32)</f>
        <v>73.965079365079362</v>
      </c>
      <c r="J47" s="115"/>
      <c r="K47" s="115"/>
      <c r="L47" s="115"/>
    </row>
    <row r="49" spans="3:19" x14ac:dyDescent="0.3">
      <c r="G49" s="298" t="s">
        <v>100</v>
      </c>
      <c r="H49" s="299" t="s">
        <v>78</v>
      </c>
      <c r="I49" s="299">
        <v>14</v>
      </c>
      <c r="J49" s="298">
        <v>15</v>
      </c>
      <c r="K49" s="298">
        <v>15</v>
      </c>
      <c r="L49" s="298">
        <v>13</v>
      </c>
      <c r="M49" s="298">
        <v>11</v>
      </c>
      <c r="N49" s="298">
        <v>10</v>
      </c>
      <c r="O49" s="298">
        <v>12</v>
      </c>
      <c r="P49" s="298">
        <v>11</v>
      </c>
      <c r="Q49" s="298">
        <v>11</v>
      </c>
      <c r="R49" s="298">
        <v>10</v>
      </c>
      <c r="S49" s="298">
        <v>9</v>
      </c>
    </row>
    <row r="50" spans="3:19" x14ac:dyDescent="0.3">
      <c r="C50" s="298" t="s">
        <v>122</v>
      </c>
      <c r="D50" s="298">
        <v>2300</v>
      </c>
      <c r="H50" s="300" t="s">
        <v>144</v>
      </c>
      <c r="I50" s="300"/>
    </row>
    <row r="51" spans="3:19" x14ac:dyDescent="0.3">
      <c r="C51" s="298" t="s">
        <v>73</v>
      </c>
      <c r="D51" s="298">
        <v>15.525</v>
      </c>
      <c r="H51" s="300">
        <v>1</v>
      </c>
      <c r="I51" s="300">
        <v>0</v>
      </c>
      <c r="N51" s="305"/>
      <c r="O51" s="305" t="s">
        <v>127</v>
      </c>
      <c r="P51" s="305" t="s">
        <v>128</v>
      </c>
    </row>
    <row r="52" spans="3:19" x14ac:dyDescent="0.3">
      <c r="H52" s="300">
        <v>2</v>
      </c>
      <c r="I52" s="300">
        <f>D51*J49</f>
        <v>232.875</v>
      </c>
      <c r="N52" s="428" t="s">
        <v>5</v>
      </c>
      <c r="O52" s="298">
        <f>L55</f>
        <v>68</v>
      </c>
      <c r="P52" s="306">
        <f>O52-I49</f>
        <v>54</v>
      </c>
      <c r="R52" s="293" t="s">
        <v>129</v>
      </c>
      <c r="S52" s="293">
        <f>2*D50</f>
        <v>4600</v>
      </c>
    </row>
    <row r="53" spans="3:19" x14ac:dyDescent="0.3">
      <c r="H53" s="300">
        <v>3</v>
      </c>
      <c r="I53" s="300">
        <f>D51*J49+2*D51*K49</f>
        <v>698.625</v>
      </c>
      <c r="N53" s="428" t="s">
        <v>7</v>
      </c>
      <c r="O53" s="298"/>
      <c r="P53" s="306">
        <f>P52-J49</f>
        <v>39</v>
      </c>
      <c r="R53" s="293" t="s">
        <v>149</v>
      </c>
      <c r="S53" s="293">
        <f>D51*P63</f>
        <v>4347</v>
      </c>
    </row>
    <row r="54" spans="3:19" x14ac:dyDescent="0.3">
      <c r="H54" s="300">
        <v>4</v>
      </c>
      <c r="I54" s="300">
        <f>D51*J49+2*D51*K49+3*D51*L49</f>
        <v>1304.0999999999999</v>
      </c>
      <c r="N54" s="428" t="s">
        <v>9</v>
      </c>
      <c r="O54" s="298"/>
      <c r="P54" s="306">
        <f>P53-K49</f>
        <v>24</v>
      </c>
      <c r="R54" s="293" t="s">
        <v>133</v>
      </c>
      <c r="S54" s="293">
        <f>S52+S53</f>
        <v>8947</v>
      </c>
    </row>
    <row r="55" spans="3:19" x14ac:dyDescent="0.3">
      <c r="H55" s="300">
        <v>5</v>
      </c>
      <c r="I55" s="300">
        <f>D51*J49+2*D51*K49+3*D51*L49+4*D51*M49</f>
        <v>1987.1999999999998</v>
      </c>
      <c r="J55" s="297"/>
      <c r="K55" s="297" t="s">
        <v>126</v>
      </c>
      <c r="L55" s="297">
        <f>SUM(I49:M49)</f>
        <v>68</v>
      </c>
      <c r="N55" s="428" t="s">
        <v>11</v>
      </c>
      <c r="O55" s="298"/>
      <c r="P55" s="306">
        <f>P54-L49</f>
        <v>11</v>
      </c>
    </row>
    <row r="56" spans="3:19" x14ac:dyDescent="0.3">
      <c r="H56" s="300">
        <v>6</v>
      </c>
      <c r="I56" s="300">
        <f>D51*J49+2*D51*K49+3*D51*L49+4*D51*M49+5*D51*N49</f>
        <v>2763.45</v>
      </c>
      <c r="N56" s="428" t="s">
        <v>13</v>
      </c>
      <c r="O56" s="298"/>
      <c r="P56" s="306">
        <f>P55-M49</f>
        <v>0</v>
      </c>
    </row>
    <row r="57" spans="3:19" x14ac:dyDescent="0.3">
      <c r="N57" s="428" t="s">
        <v>15</v>
      </c>
      <c r="O57" s="298">
        <f>L64</f>
        <v>63</v>
      </c>
      <c r="P57" s="306">
        <f>O57-N49</f>
        <v>53</v>
      </c>
    </row>
    <row r="58" spans="3:19" x14ac:dyDescent="0.3">
      <c r="H58" s="298" t="s">
        <v>152</v>
      </c>
      <c r="I58" s="298"/>
      <c r="N58" s="428" t="s">
        <v>17</v>
      </c>
      <c r="O58" s="298"/>
      <c r="P58" s="306">
        <f>P57-O49</f>
        <v>41</v>
      </c>
    </row>
    <row r="59" spans="3:19" x14ac:dyDescent="0.3">
      <c r="H59" s="298" t="s">
        <v>125</v>
      </c>
      <c r="I59" s="298">
        <v>0</v>
      </c>
      <c r="N59" s="428" t="s">
        <v>19</v>
      </c>
      <c r="O59" s="298"/>
      <c r="P59" s="306">
        <f>P58-P49</f>
        <v>30</v>
      </c>
    </row>
    <row r="60" spans="3:19" x14ac:dyDescent="0.3">
      <c r="H60" s="298" t="s">
        <v>130</v>
      </c>
      <c r="I60" s="298">
        <f>D51*O49</f>
        <v>186.3</v>
      </c>
      <c r="N60" s="428" t="s">
        <v>21</v>
      </c>
      <c r="O60" s="298"/>
      <c r="P60" s="306">
        <f>P59-Q49</f>
        <v>19</v>
      </c>
    </row>
    <row r="61" spans="3:19" x14ac:dyDescent="0.3">
      <c r="H61" s="298" t="s">
        <v>132</v>
      </c>
      <c r="I61" s="298">
        <f>D51*O49+2*D51*P49</f>
        <v>527.85</v>
      </c>
      <c r="N61" s="428" t="s">
        <v>23</v>
      </c>
      <c r="O61" s="298"/>
      <c r="P61" s="306">
        <f>P60-R49</f>
        <v>9</v>
      </c>
    </row>
    <row r="62" spans="3:19" x14ac:dyDescent="0.3">
      <c r="H62" s="298" t="s">
        <v>134</v>
      </c>
      <c r="I62" s="298">
        <f>D51*O49+2*D51*P49+3*D51*Q49</f>
        <v>1040.1750000000002</v>
      </c>
      <c r="N62" s="428" t="s">
        <v>28</v>
      </c>
      <c r="O62" s="299"/>
      <c r="P62" s="307">
        <f>P61-S49</f>
        <v>0</v>
      </c>
    </row>
    <row r="63" spans="3:19" x14ac:dyDescent="0.3">
      <c r="H63" s="298" t="s">
        <v>135</v>
      </c>
      <c r="I63" s="298">
        <f>D51*O49+2*D51*P49+3*D51*Q49+4*D51*R49</f>
        <v>1661.1750000000002</v>
      </c>
      <c r="O63" s="298" t="s">
        <v>142</v>
      </c>
      <c r="P63" s="306">
        <f>SUM(P52:P62)</f>
        <v>280</v>
      </c>
    </row>
    <row r="64" spans="3:19" x14ac:dyDescent="0.3">
      <c r="H64" s="298" t="s">
        <v>136</v>
      </c>
      <c r="I64" s="304">
        <f>D51*O49+2*D51*P49+3*D51*Q49+4*D51*R49+5*D51*S49</f>
        <v>2359.8000000000002</v>
      </c>
      <c r="J64" s="298"/>
      <c r="K64" s="298" t="s">
        <v>153</v>
      </c>
      <c r="L64" s="298">
        <f>SUM(N49:S49)</f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F7CFB-BCAD-4D56-9E90-ED88AC9CC187}">
  <dimension ref="A1:T64"/>
  <sheetViews>
    <sheetView zoomScale="77" workbookViewId="0">
      <selection activeCell="X14" sqref="X14"/>
    </sheetView>
  </sheetViews>
  <sheetFormatPr defaultColWidth="8.77734375" defaultRowHeight="14.4" x14ac:dyDescent="0.3"/>
  <cols>
    <col min="3" max="3" width="10.44140625" customWidth="1"/>
    <col min="7" max="7" width="22.44140625" customWidth="1"/>
    <col min="18" max="18" width="11.33203125" customWidth="1"/>
  </cols>
  <sheetData>
    <row r="1" spans="1:20" x14ac:dyDescent="0.3">
      <c r="A1" s="314" t="s">
        <v>157</v>
      </c>
      <c r="B1" s="314" t="s">
        <v>1</v>
      </c>
      <c r="C1" s="314" t="s">
        <v>2</v>
      </c>
      <c r="F1" s="365" t="s">
        <v>40</v>
      </c>
      <c r="G1" s="326" t="s">
        <v>26</v>
      </c>
      <c r="H1" s="332" t="s">
        <v>27</v>
      </c>
      <c r="I1" s="332" t="s">
        <v>5</v>
      </c>
      <c r="J1" s="332" t="s">
        <v>7</v>
      </c>
      <c r="K1" s="332" t="s">
        <v>9</v>
      </c>
      <c r="L1" s="332" t="s">
        <v>11</v>
      </c>
      <c r="M1" s="332" t="s">
        <v>13</v>
      </c>
      <c r="N1" s="332" t="s">
        <v>15</v>
      </c>
      <c r="O1" s="332" t="s">
        <v>17</v>
      </c>
      <c r="P1" s="332" t="s">
        <v>19</v>
      </c>
      <c r="Q1" s="332" t="s">
        <v>21</v>
      </c>
      <c r="R1" s="332" t="s">
        <v>23</v>
      </c>
      <c r="S1" s="332" t="s">
        <v>28</v>
      </c>
    </row>
    <row r="2" spans="1:20" x14ac:dyDescent="0.3">
      <c r="A2" s="429" t="s">
        <v>5</v>
      </c>
      <c r="B2" s="314">
        <v>30</v>
      </c>
      <c r="C2" s="377">
        <v>27.386628771333719</v>
      </c>
      <c r="D2" s="115">
        <v>27</v>
      </c>
      <c r="G2" s="366" t="s">
        <v>32</v>
      </c>
      <c r="H2" s="326"/>
      <c r="I2" s="326">
        <v>27</v>
      </c>
      <c r="J2" s="326">
        <v>28</v>
      </c>
      <c r="K2" s="326">
        <v>27</v>
      </c>
      <c r="L2" s="326">
        <v>28</v>
      </c>
      <c r="M2" s="326">
        <v>25</v>
      </c>
      <c r="N2" s="326">
        <v>23</v>
      </c>
      <c r="O2" s="326">
        <v>22</v>
      </c>
      <c r="P2" s="326">
        <v>22</v>
      </c>
      <c r="Q2" s="326">
        <v>18</v>
      </c>
      <c r="R2" s="326">
        <v>18</v>
      </c>
      <c r="S2" s="326">
        <v>20</v>
      </c>
    </row>
    <row r="3" spans="1:20" x14ac:dyDescent="0.3">
      <c r="A3" s="429" t="s">
        <v>7</v>
      </c>
      <c r="B3" s="314">
        <v>25</v>
      </c>
      <c r="C3" s="377">
        <v>27.909303017066975</v>
      </c>
      <c r="D3" s="115">
        <v>28</v>
      </c>
      <c r="G3" s="366" t="s">
        <v>35</v>
      </c>
      <c r="H3" s="326">
        <v>27</v>
      </c>
      <c r="I3" s="326">
        <v>28</v>
      </c>
      <c r="J3" s="326">
        <v>27</v>
      </c>
      <c r="K3" s="326">
        <v>28</v>
      </c>
      <c r="L3" s="326">
        <v>25</v>
      </c>
      <c r="M3" s="326">
        <v>23</v>
      </c>
      <c r="N3" s="326">
        <v>22</v>
      </c>
      <c r="O3" s="326">
        <v>22</v>
      </c>
      <c r="P3" s="326">
        <v>18</v>
      </c>
      <c r="Q3" s="326">
        <v>18</v>
      </c>
      <c r="R3" s="326">
        <v>20</v>
      </c>
      <c r="S3" s="326"/>
    </row>
    <row r="4" spans="1:20" x14ac:dyDescent="0.3">
      <c r="A4" s="429" t="s">
        <v>9</v>
      </c>
      <c r="B4" s="314">
        <v>30</v>
      </c>
      <c r="C4" s="377">
        <v>27.327442413653582</v>
      </c>
      <c r="D4" s="115">
        <v>27</v>
      </c>
      <c r="G4" s="366" t="s">
        <v>40</v>
      </c>
      <c r="H4" s="326">
        <v>115</v>
      </c>
      <c r="I4" s="326">
        <v>0</v>
      </c>
      <c r="J4" s="326">
        <v>0</v>
      </c>
      <c r="K4" s="326">
        <v>0</v>
      </c>
      <c r="L4" s="326">
        <v>115</v>
      </c>
      <c r="M4" s="326">
        <v>0</v>
      </c>
      <c r="N4" s="326">
        <v>0</v>
      </c>
      <c r="O4" s="326">
        <v>0</v>
      </c>
      <c r="P4" s="326">
        <v>0</v>
      </c>
      <c r="Q4" s="326">
        <v>115</v>
      </c>
      <c r="R4" s="326">
        <v>0</v>
      </c>
      <c r="S4" s="326"/>
    </row>
    <row r="5" spans="1:20" x14ac:dyDescent="0.3">
      <c r="A5" s="429" t="s">
        <v>11</v>
      </c>
      <c r="B5" s="314">
        <v>15</v>
      </c>
      <c r="C5" s="377">
        <v>27.861953930922866</v>
      </c>
      <c r="D5" s="115">
        <v>28</v>
      </c>
      <c r="G5" s="366" t="s">
        <v>43</v>
      </c>
      <c r="H5" s="326"/>
      <c r="I5" s="326">
        <v>115</v>
      </c>
      <c r="J5" s="326">
        <v>0</v>
      </c>
      <c r="K5" s="326">
        <v>0</v>
      </c>
      <c r="L5" s="326">
        <v>0</v>
      </c>
      <c r="M5" s="326">
        <v>115</v>
      </c>
      <c r="N5" s="326">
        <v>0</v>
      </c>
      <c r="O5" s="326">
        <v>0</v>
      </c>
      <c r="P5" s="326">
        <v>0</v>
      </c>
      <c r="Q5" s="326">
        <v>115</v>
      </c>
      <c r="R5" s="326">
        <v>0</v>
      </c>
      <c r="S5" s="326">
        <v>0</v>
      </c>
    </row>
    <row r="6" spans="1:20" x14ac:dyDescent="0.3">
      <c r="A6" s="429" t="s">
        <v>13</v>
      </c>
      <c r="B6" s="314">
        <v>12</v>
      </c>
      <c r="C6" s="377">
        <v>25.289563144738295</v>
      </c>
      <c r="D6" s="115">
        <v>25</v>
      </c>
      <c r="G6" s="366" t="s">
        <v>45</v>
      </c>
      <c r="H6" s="330"/>
      <c r="I6" s="326">
        <f>H4-I2</f>
        <v>88</v>
      </c>
      <c r="J6" s="326">
        <f>I6+I4-J2</f>
        <v>60</v>
      </c>
      <c r="K6" s="326">
        <f>J6+J4-K2</f>
        <v>33</v>
      </c>
      <c r="L6" s="326">
        <f>K6+K4-L2</f>
        <v>5</v>
      </c>
      <c r="M6" s="326">
        <f>L4+L6-M2</f>
        <v>95</v>
      </c>
      <c r="N6" s="326">
        <f>M6+M4-N2</f>
        <v>72</v>
      </c>
      <c r="O6" s="326">
        <f t="shared" ref="O6:S6" si="0">N6+N4-O2</f>
        <v>50</v>
      </c>
      <c r="P6" s="326">
        <f>O6+O4-P2</f>
        <v>28</v>
      </c>
      <c r="Q6" s="326">
        <f t="shared" si="0"/>
        <v>10</v>
      </c>
      <c r="R6" s="326">
        <f t="shared" si="0"/>
        <v>107</v>
      </c>
      <c r="S6" s="326">
        <f t="shared" si="0"/>
        <v>87</v>
      </c>
    </row>
    <row r="7" spans="1:20" x14ac:dyDescent="0.3">
      <c r="A7" s="429" t="s">
        <v>15</v>
      </c>
      <c r="B7" s="314">
        <v>18</v>
      </c>
      <c r="C7" s="377">
        <v>22.631650515790639</v>
      </c>
      <c r="D7" s="115">
        <v>23</v>
      </c>
      <c r="G7" s="366" t="s">
        <v>129</v>
      </c>
      <c r="H7" s="115">
        <f>3*B15</f>
        <v>6900</v>
      </c>
    </row>
    <row r="8" spans="1:20" x14ac:dyDescent="0.3">
      <c r="A8" s="429" t="s">
        <v>17</v>
      </c>
      <c r="B8" s="314">
        <v>25</v>
      </c>
      <c r="C8" s="377">
        <v>21.705320412632513</v>
      </c>
      <c r="D8" s="115">
        <v>22</v>
      </c>
      <c r="G8" s="366" t="s">
        <v>149</v>
      </c>
      <c r="H8" s="115">
        <f>SUM(I6:S6)*B18</f>
        <v>5148.2624999999998</v>
      </c>
    </row>
    <row r="9" spans="1:20" x14ac:dyDescent="0.3">
      <c r="A9" s="429" t="s">
        <v>19</v>
      </c>
      <c r="B9" s="314">
        <v>0</v>
      </c>
      <c r="C9" s="377">
        <v>22.364256330106013</v>
      </c>
      <c r="D9" s="115">
        <v>22</v>
      </c>
      <c r="G9" s="367" t="s">
        <v>133</v>
      </c>
      <c r="H9" s="115">
        <f>H7+H8</f>
        <v>12048.262500000001</v>
      </c>
    </row>
    <row r="10" spans="1:20" x14ac:dyDescent="0.3">
      <c r="A10" s="429" t="s">
        <v>21</v>
      </c>
      <c r="B10" s="314">
        <v>16</v>
      </c>
      <c r="C10" s="377">
        <v>17.891405064084811</v>
      </c>
      <c r="D10" s="115">
        <v>18</v>
      </c>
    </row>
    <row r="11" spans="1:20" x14ac:dyDescent="0.3">
      <c r="A11" s="429" t="s">
        <v>23</v>
      </c>
      <c r="B11" s="314">
        <v>31</v>
      </c>
      <c r="C11" s="377">
        <v>17.513124051267848</v>
      </c>
      <c r="D11" s="115">
        <v>18</v>
      </c>
    </row>
    <row r="12" spans="1:20" ht="15" customHeight="1" x14ac:dyDescent="0.3">
      <c r="A12" s="429" t="s">
        <v>28</v>
      </c>
      <c r="B12" s="322">
        <v>24</v>
      </c>
      <c r="C12" s="378">
        <v>20.210499241014279</v>
      </c>
      <c r="D12" s="115">
        <v>20</v>
      </c>
      <c r="G12" s="315" t="s">
        <v>77</v>
      </c>
      <c r="H12" s="316" t="s">
        <v>78</v>
      </c>
      <c r="I12" s="314">
        <v>27</v>
      </c>
      <c r="J12" s="314">
        <v>28</v>
      </c>
      <c r="K12" s="314">
        <v>27</v>
      </c>
      <c r="L12" s="314">
        <v>28</v>
      </c>
      <c r="M12" s="314">
        <v>25</v>
      </c>
      <c r="N12" s="314">
        <v>23</v>
      </c>
      <c r="O12" s="314">
        <v>22</v>
      </c>
      <c r="P12" s="314">
        <v>22</v>
      </c>
      <c r="Q12" s="314">
        <v>18</v>
      </c>
      <c r="R12" s="314">
        <v>18</v>
      </c>
      <c r="S12" s="314">
        <v>20</v>
      </c>
    </row>
    <row r="13" spans="1:20" x14ac:dyDescent="0.3">
      <c r="B13" s="115" t="s">
        <v>72</v>
      </c>
      <c r="C13" s="115">
        <f>AVERAGE(C2:C12)</f>
        <v>23.462831535691954</v>
      </c>
      <c r="H13" s="312" t="s">
        <v>124</v>
      </c>
      <c r="I13" s="312"/>
    </row>
    <row r="14" spans="1:20" x14ac:dyDescent="0.3">
      <c r="B14" s="115" t="s">
        <v>38</v>
      </c>
      <c r="C14" s="115">
        <f>SQRT(2*B15*C13/B18)</f>
        <v>115.37870186020378</v>
      </c>
      <c r="H14" s="312" t="s">
        <v>125</v>
      </c>
      <c r="I14" s="312">
        <f>B15</f>
        <v>2300</v>
      </c>
      <c r="O14" s="320"/>
      <c r="P14" s="320" t="s">
        <v>127</v>
      </c>
      <c r="Q14" s="320" t="s">
        <v>128</v>
      </c>
      <c r="S14" s="312" t="s">
        <v>158</v>
      </c>
      <c r="T14" s="312">
        <f>2*B15</f>
        <v>4600</v>
      </c>
    </row>
    <row r="15" spans="1:20" x14ac:dyDescent="0.3">
      <c r="A15" s="314" t="s">
        <v>122</v>
      </c>
      <c r="B15" s="379">
        <v>2300</v>
      </c>
      <c r="H15" s="312" t="s">
        <v>130</v>
      </c>
      <c r="I15" s="312">
        <f>(B15+B18*J12)/2</f>
        <v>1263.5050000000001</v>
      </c>
      <c r="O15" s="429" t="s">
        <v>5</v>
      </c>
      <c r="P15" s="314">
        <f>L19</f>
        <v>158</v>
      </c>
      <c r="Q15" s="321">
        <f>P15-I12</f>
        <v>131</v>
      </c>
      <c r="S15" s="312" t="s">
        <v>159</v>
      </c>
      <c r="T15" s="312">
        <f>Q26*B18</f>
        <v>4645.5974999999999</v>
      </c>
    </row>
    <row r="16" spans="1:20" x14ac:dyDescent="0.3">
      <c r="A16" s="314" t="s">
        <v>143</v>
      </c>
      <c r="B16" s="314">
        <v>0.46</v>
      </c>
      <c r="H16" s="312" t="s">
        <v>132</v>
      </c>
      <c r="I16" s="312">
        <f>(B15+B18*J12+2*B18*K12)/3</f>
        <v>988.27166666666665</v>
      </c>
      <c r="O16" s="429" t="s">
        <v>7</v>
      </c>
      <c r="P16" s="314"/>
      <c r="Q16" s="321">
        <f>Q15-J12</f>
        <v>103</v>
      </c>
      <c r="S16" s="312" t="s">
        <v>160</v>
      </c>
      <c r="T16" s="312">
        <f>T14+T15</f>
        <v>9245.5974999999999</v>
      </c>
    </row>
    <row r="17" spans="1:19" x14ac:dyDescent="0.3">
      <c r="A17" s="314" t="s">
        <v>70</v>
      </c>
      <c r="B17" s="314">
        <v>17.625</v>
      </c>
      <c r="H17" s="312" t="s">
        <v>134</v>
      </c>
      <c r="I17" s="312">
        <f>(B15+B18*J12+2*B18*K12+3*B18*L12)/4</f>
        <v>911.46125000000006</v>
      </c>
      <c r="O17" s="429" t="s">
        <v>9</v>
      </c>
      <c r="P17" s="314"/>
      <c r="Q17" s="321">
        <f>Q16-K12</f>
        <v>76</v>
      </c>
    </row>
    <row r="18" spans="1:19" x14ac:dyDescent="0.3">
      <c r="A18" s="314" t="s">
        <v>73</v>
      </c>
      <c r="B18" s="314">
        <f>B16*B17</f>
        <v>8.1074999999999999</v>
      </c>
      <c r="H18" s="312" t="s">
        <v>135</v>
      </c>
      <c r="I18" s="312">
        <f>(B15+B18*J12+2*B18*K12+3*B18*L12+4*B18*M12)/5</f>
        <v>891.31900000000007</v>
      </c>
      <c r="O18" s="429" t="s">
        <v>11</v>
      </c>
      <c r="P18" s="314"/>
      <c r="Q18" s="321">
        <f>Q17-L12</f>
        <v>48</v>
      </c>
    </row>
    <row r="19" spans="1:19" x14ac:dyDescent="0.3">
      <c r="H19" s="313" t="s">
        <v>136</v>
      </c>
      <c r="I19" s="319">
        <f>(B15+B18*J12+2*B18*K12+3*B18*L12+4*B18*M12+5*B18*N12)/6</f>
        <v>898.15958333333344</v>
      </c>
      <c r="J19" s="312"/>
      <c r="K19" s="312" t="s">
        <v>126</v>
      </c>
      <c r="L19" s="312">
        <f>SUM(I12:N12)</f>
        <v>158</v>
      </c>
      <c r="O19" s="429" t="s">
        <v>13</v>
      </c>
      <c r="P19" s="314"/>
      <c r="Q19" s="321">
        <f>Q18-M12</f>
        <v>23</v>
      </c>
    </row>
    <row r="20" spans="1:19" x14ac:dyDescent="0.3">
      <c r="H20" s="312" t="s">
        <v>137</v>
      </c>
      <c r="I20" s="312">
        <f>(B15+B18*J12+2*B18*K12+3*B18*L12+4*B18*M12+5*B18*N12+6*B18*O12)/7</f>
        <v>922.7353571428572</v>
      </c>
      <c r="O20" s="429" t="s">
        <v>15</v>
      </c>
      <c r="P20" s="314"/>
      <c r="Q20" s="321">
        <f>Q19-N12</f>
        <v>0</v>
      </c>
    </row>
    <row r="21" spans="1:19" x14ac:dyDescent="0.3">
      <c r="G21" s="308"/>
      <c r="H21" s="317"/>
      <c r="I21" s="318"/>
      <c r="J21" s="310"/>
      <c r="O21" s="429" t="s">
        <v>17</v>
      </c>
      <c r="P21" s="314">
        <f>L27</f>
        <v>100</v>
      </c>
      <c r="Q21" s="321">
        <f>P21-O12</f>
        <v>78</v>
      </c>
    </row>
    <row r="22" spans="1:19" x14ac:dyDescent="0.3">
      <c r="H22" s="312" t="s">
        <v>150</v>
      </c>
      <c r="I22" s="312"/>
      <c r="O22" s="429" t="s">
        <v>19</v>
      </c>
      <c r="P22" s="314"/>
      <c r="Q22" s="321">
        <f>Q21-P12</f>
        <v>56</v>
      </c>
    </row>
    <row r="23" spans="1:19" x14ac:dyDescent="0.3">
      <c r="H23" s="312" t="s">
        <v>125</v>
      </c>
      <c r="I23" s="312">
        <f>B15</f>
        <v>2300</v>
      </c>
      <c r="O23" s="429" t="s">
        <v>21</v>
      </c>
      <c r="P23" s="314"/>
      <c r="Q23" s="321">
        <f>Q22-Q12</f>
        <v>38</v>
      </c>
    </row>
    <row r="24" spans="1:19" x14ac:dyDescent="0.3">
      <c r="H24" s="312" t="s">
        <v>130</v>
      </c>
      <c r="I24" s="312">
        <f>(B15+B18*P12)/2</f>
        <v>1239.1824999999999</v>
      </c>
      <c r="O24" s="429" t="s">
        <v>23</v>
      </c>
      <c r="P24" s="314"/>
      <c r="Q24" s="321">
        <f>Q23-R12</f>
        <v>20</v>
      </c>
    </row>
    <row r="25" spans="1:19" x14ac:dyDescent="0.3">
      <c r="H25" s="312" t="s">
        <v>132</v>
      </c>
      <c r="I25" s="312">
        <f>(B15+B18*P12+2*B18*Q12)/3</f>
        <v>923.41166666666652</v>
      </c>
      <c r="O25" s="429" t="s">
        <v>28</v>
      </c>
      <c r="P25" s="322"/>
      <c r="Q25" s="323">
        <f>Q24-S12</f>
        <v>0</v>
      </c>
    </row>
    <row r="26" spans="1:19" x14ac:dyDescent="0.3">
      <c r="H26" s="312" t="s">
        <v>134</v>
      </c>
      <c r="I26" s="312">
        <f>(B15+B18*P12+2*B18*Q12+3*B18*R12)/4</f>
        <v>802.00999999999988</v>
      </c>
      <c r="P26" s="312" t="s">
        <v>142</v>
      </c>
      <c r="Q26" s="324">
        <f>SUM(Q15:Q25)</f>
        <v>573</v>
      </c>
    </row>
    <row r="27" spans="1:19" x14ac:dyDescent="0.3">
      <c r="H27" s="312" t="s">
        <v>135</v>
      </c>
      <c r="I27" s="312">
        <f>(B15+B18*P12+2*B18*Q12+3*B18*R12+4*B18*S12)/5</f>
        <v>771.32799999999986</v>
      </c>
      <c r="K27" s="312" t="s">
        <v>151</v>
      </c>
      <c r="L27" s="312">
        <f>SUM(O12:S12)</f>
        <v>100</v>
      </c>
    </row>
    <row r="32" spans="1:19" x14ac:dyDescent="0.3">
      <c r="G32" s="325" t="s">
        <v>161</v>
      </c>
      <c r="H32" s="331" t="s">
        <v>78</v>
      </c>
      <c r="I32" s="330">
        <v>27</v>
      </c>
      <c r="J32" s="326">
        <v>28</v>
      </c>
      <c r="K32" s="326">
        <v>27</v>
      </c>
      <c r="L32" s="326">
        <v>28</v>
      </c>
      <c r="M32" s="326">
        <v>25</v>
      </c>
      <c r="N32" s="326">
        <v>23</v>
      </c>
      <c r="O32" s="326">
        <v>22</v>
      </c>
      <c r="P32" s="326">
        <v>22</v>
      </c>
      <c r="Q32" s="326">
        <v>18</v>
      </c>
      <c r="R32" s="326">
        <v>18</v>
      </c>
      <c r="S32" s="326">
        <v>20</v>
      </c>
    </row>
    <row r="33" spans="3:19" x14ac:dyDescent="0.3">
      <c r="C33" s="325" t="s">
        <v>122</v>
      </c>
      <c r="D33" s="325">
        <v>2300</v>
      </c>
      <c r="H33" s="327" t="s">
        <v>144</v>
      </c>
      <c r="I33" s="327"/>
    </row>
    <row r="34" spans="3:19" x14ac:dyDescent="0.3">
      <c r="C34" s="325" t="s">
        <v>73</v>
      </c>
      <c r="D34" s="325">
        <v>8.1074999999999999</v>
      </c>
      <c r="H34" s="327" t="s">
        <v>125</v>
      </c>
      <c r="I34" s="332">
        <f>D33/I32</f>
        <v>85.18518518518519</v>
      </c>
      <c r="N34" s="328"/>
      <c r="O34" s="328" t="s">
        <v>127</v>
      </c>
      <c r="P34" s="328" t="s">
        <v>128</v>
      </c>
    </row>
    <row r="35" spans="3:19" x14ac:dyDescent="0.3">
      <c r="H35" s="334" t="s">
        <v>130</v>
      </c>
      <c r="I35" s="327">
        <f>(D33+D34*J32)/(I32+J32)</f>
        <v>45.945636363636368</v>
      </c>
      <c r="J35" s="342"/>
      <c r="K35" s="340"/>
      <c r="L35" s="310"/>
      <c r="N35" s="430" t="s">
        <v>5</v>
      </c>
      <c r="O35" s="326">
        <v>135</v>
      </c>
      <c r="P35" s="329">
        <f>O35-I32</f>
        <v>108</v>
      </c>
      <c r="R35" s="50" t="s">
        <v>129</v>
      </c>
      <c r="S35" s="50">
        <f>3*D33</f>
        <v>6900</v>
      </c>
    </row>
    <row r="36" spans="3:19" x14ac:dyDescent="0.3">
      <c r="H36" s="334" t="s">
        <v>132</v>
      </c>
      <c r="I36" s="327">
        <f>(D33+D34*J32+2*D34*K32)/(I32+J32+K32)</f>
        <v>36.156280487804878</v>
      </c>
      <c r="J36" s="343"/>
      <c r="K36" s="309"/>
      <c r="L36" s="344"/>
      <c r="N36" s="430" t="s">
        <v>7</v>
      </c>
      <c r="O36" s="326"/>
      <c r="P36" s="329">
        <f>P35-J32</f>
        <v>80</v>
      </c>
      <c r="R36" s="50" t="s">
        <v>149</v>
      </c>
      <c r="S36" s="50">
        <f>P46*D34</f>
        <v>3713.2350000000001</v>
      </c>
    </row>
    <row r="37" spans="3:19" x14ac:dyDescent="0.3">
      <c r="H37" s="334" t="s">
        <v>134</v>
      </c>
      <c r="I37" s="327">
        <f>(D33+D34*J32+2*D34*K32+3*D34*L32)/(I32+J32+K32+L32)</f>
        <v>33.144045454545456</v>
      </c>
      <c r="N37" s="430" t="s">
        <v>9</v>
      </c>
      <c r="O37" s="326"/>
      <c r="P37" s="329">
        <f>P36-K32</f>
        <v>53</v>
      </c>
      <c r="R37" s="50" t="s">
        <v>133</v>
      </c>
      <c r="S37" s="50">
        <f>S35+S36</f>
        <v>10613.235000000001</v>
      </c>
    </row>
    <row r="38" spans="3:19" x14ac:dyDescent="0.3">
      <c r="H38" s="327" t="s">
        <v>135</v>
      </c>
      <c r="I38" s="341">
        <f>(D33+D34*J32+2*D34*K32+3*D34*L32+4*D34*M32)/(I32+J32+K32+L32+M32)</f>
        <v>33.011814814814819</v>
      </c>
      <c r="J38" s="50"/>
      <c r="K38" s="50" t="s">
        <v>126</v>
      </c>
      <c r="L38" s="50">
        <f>SUM(I32:M32)</f>
        <v>135</v>
      </c>
      <c r="N38" s="430" t="s">
        <v>11</v>
      </c>
      <c r="O38" s="326"/>
      <c r="P38" s="329">
        <f>P37-L32</f>
        <v>25</v>
      </c>
    </row>
    <row r="39" spans="3:19" x14ac:dyDescent="0.3">
      <c r="H39" s="327" t="s">
        <v>136</v>
      </c>
      <c r="I39" s="327">
        <f>(D33+D34*J32+2*D34*K32+3*D34*L32+4*D34*M32+5*D34*N32)/(I32+J32+K32+L32+M32+N32)</f>
        <v>34.107325949367095</v>
      </c>
      <c r="N39" s="430" t="s">
        <v>13</v>
      </c>
      <c r="O39" s="326"/>
      <c r="P39" s="329">
        <f>P38-M32</f>
        <v>0</v>
      </c>
    </row>
    <row r="40" spans="3:19" x14ac:dyDescent="0.3">
      <c r="H40" s="327"/>
      <c r="I40" s="327"/>
      <c r="N40" s="430" t="s">
        <v>15</v>
      </c>
      <c r="O40" s="326">
        <f>L46</f>
        <v>103</v>
      </c>
      <c r="P40" s="329">
        <f>O40-N32</f>
        <v>80</v>
      </c>
    </row>
    <row r="41" spans="3:19" x14ac:dyDescent="0.3">
      <c r="H41" s="327" t="s">
        <v>152</v>
      </c>
      <c r="I41" s="332"/>
      <c r="L41" s="338"/>
      <c r="N41" s="430" t="s">
        <v>17</v>
      </c>
      <c r="O41" s="326"/>
      <c r="P41" s="329">
        <f>P40-O32</f>
        <v>58</v>
      </c>
    </row>
    <row r="42" spans="3:19" x14ac:dyDescent="0.3">
      <c r="H42" s="334" t="s">
        <v>125</v>
      </c>
      <c r="I42" s="327">
        <f>D33/N32</f>
        <v>100</v>
      </c>
      <c r="J42" s="336"/>
      <c r="K42" s="311"/>
      <c r="L42" s="309"/>
      <c r="M42" s="310"/>
      <c r="N42" s="431" t="s">
        <v>19</v>
      </c>
      <c r="O42" s="326"/>
      <c r="P42" s="329">
        <f>P41-P32</f>
        <v>36</v>
      </c>
    </row>
    <row r="43" spans="3:19" x14ac:dyDescent="0.3">
      <c r="H43" s="327" t="s">
        <v>130</v>
      </c>
      <c r="I43" s="341">
        <f>(D33+D34*O32)/(N32+O32)</f>
        <v>55.074777777777776</v>
      </c>
      <c r="L43" s="339"/>
      <c r="N43" s="430" t="s">
        <v>21</v>
      </c>
      <c r="O43" s="326"/>
      <c r="P43" s="329">
        <f>P42-Q32</f>
        <v>18</v>
      </c>
    </row>
    <row r="44" spans="3:19" x14ac:dyDescent="0.3">
      <c r="H44" s="327" t="s">
        <v>132</v>
      </c>
      <c r="I44" s="327">
        <f>(D33+D34*O32+2*D34*P32)/(N32+O32+P32)</f>
        <v>42.314850746268654</v>
      </c>
      <c r="N44" s="430" t="s">
        <v>23</v>
      </c>
      <c r="O44" s="326"/>
      <c r="P44" s="329">
        <f>P43-R32</f>
        <v>0</v>
      </c>
    </row>
    <row r="45" spans="3:19" x14ac:dyDescent="0.3">
      <c r="H45" s="327" t="s">
        <v>134</v>
      </c>
      <c r="I45" s="327">
        <f>(D33+D34*O32+2*D34*P32+3*D34*Q32)/(N32+O32+P32+Q32)</f>
        <v>38.504705882352937</v>
      </c>
      <c r="N45" s="432" t="s">
        <v>28</v>
      </c>
      <c r="O45" s="326">
        <f>S32</f>
        <v>20</v>
      </c>
      <c r="P45" s="329">
        <f>O45-S32</f>
        <v>0</v>
      </c>
    </row>
    <row r="46" spans="3:19" x14ac:dyDescent="0.3">
      <c r="H46" s="327" t="s">
        <v>135</v>
      </c>
      <c r="I46" s="327">
        <f>(D33+D34*O32+2*D34*P32+3*D34*Q32+4*D34*R32)/(N32+O32+P32+Q32+R32)</f>
        <v>37.443106796116503</v>
      </c>
      <c r="J46" s="50"/>
      <c r="K46" s="50" t="s">
        <v>153</v>
      </c>
      <c r="L46" s="50">
        <f>SUM(N32:R32)</f>
        <v>103</v>
      </c>
      <c r="O46" s="334" t="s">
        <v>142</v>
      </c>
      <c r="P46" s="333">
        <f>SUM(P35:P45)</f>
        <v>458</v>
      </c>
    </row>
    <row r="47" spans="3:19" x14ac:dyDescent="0.3">
      <c r="H47" s="332" t="s">
        <v>136</v>
      </c>
      <c r="I47" s="332">
        <f>(D33+D34*O32+2*D34*P32+3*D34*Q32+4*D34*R32+5*D34*S32)/(N32+O32+P32+Q32+R32+S32)</f>
        <v>37.946260162601618</v>
      </c>
    </row>
    <row r="48" spans="3:19" x14ac:dyDescent="0.3">
      <c r="H48" s="345"/>
      <c r="I48" s="309"/>
      <c r="J48" s="340"/>
      <c r="K48" s="338"/>
      <c r="L48" s="337"/>
      <c r="M48" s="337"/>
    </row>
    <row r="49" spans="3:19" x14ac:dyDescent="0.3">
      <c r="G49" s="335" t="s">
        <v>100</v>
      </c>
      <c r="H49" s="346" t="s">
        <v>78</v>
      </c>
      <c r="I49" s="347">
        <v>27</v>
      </c>
      <c r="J49" s="335">
        <v>28</v>
      </c>
      <c r="K49" s="335">
        <v>27</v>
      </c>
      <c r="L49" s="335">
        <v>28</v>
      </c>
      <c r="M49" s="335">
        <v>25</v>
      </c>
      <c r="N49" s="335">
        <v>23</v>
      </c>
      <c r="O49" s="335">
        <v>22</v>
      </c>
      <c r="P49" s="335">
        <v>22</v>
      </c>
      <c r="Q49" s="335">
        <v>18</v>
      </c>
      <c r="R49" s="335">
        <v>18</v>
      </c>
      <c r="S49" s="335">
        <v>20</v>
      </c>
    </row>
    <row r="50" spans="3:19" x14ac:dyDescent="0.3">
      <c r="C50" s="335" t="s">
        <v>122</v>
      </c>
      <c r="D50" s="335">
        <v>2300</v>
      </c>
      <c r="H50" s="335" t="s">
        <v>144</v>
      </c>
      <c r="I50" s="335"/>
      <c r="K50" s="339"/>
    </row>
    <row r="51" spans="3:19" x14ac:dyDescent="0.3">
      <c r="C51" s="335" t="s">
        <v>73</v>
      </c>
      <c r="D51" s="335">
        <v>8.1074999999999999</v>
      </c>
      <c r="H51" s="335">
        <v>1</v>
      </c>
      <c r="I51" s="335">
        <v>0</v>
      </c>
      <c r="N51" s="335"/>
      <c r="O51" s="335" t="s">
        <v>127</v>
      </c>
      <c r="P51" s="335" t="s">
        <v>128</v>
      </c>
    </row>
    <row r="52" spans="3:19" x14ac:dyDescent="0.3">
      <c r="H52" s="335">
        <v>2</v>
      </c>
      <c r="I52" s="335">
        <f>D51*J49</f>
        <v>227.01</v>
      </c>
      <c r="N52" s="335" t="s">
        <v>5</v>
      </c>
      <c r="O52" s="335">
        <f>L55</f>
        <v>135</v>
      </c>
      <c r="P52" s="335">
        <f>O52-I49</f>
        <v>108</v>
      </c>
      <c r="R52" s="335" t="s">
        <v>129</v>
      </c>
      <c r="S52" s="335">
        <f>2*D50</f>
        <v>4600</v>
      </c>
    </row>
    <row r="53" spans="3:19" x14ac:dyDescent="0.3">
      <c r="H53" s="335">
        <v>3</v>
      </c>
      <c r="I53" s="335">
        <f>D51*J49+2*D51*K49</f>
        <v>664.81500000000005</v>
      </c>
      <c r="N53" s="335" t="s">
        <v>7</v>
      </c>
      <c r="O53" s="335"/>
      <c r="P53" s="335">
        <f>P52-J49</f>
        <v>80</v>
      </c>
      <c r="R53" s="335" t="s">
        <v>149</v>
      </c>
      <c r="S53" s="335">
        <f>D51*P63</f>
        <v>4523.9849999999997</v>
      </c>
    </row>
    <row r="54" spans="3:19" x14ac:dyDescent="0.3">
      <c r="H54" s="347">
        <v>4</v>
      </c>
      <c r="I54" s="347">
        <f>D51*J49+2*D51*K49+3*D51*L49</f>
        <v>1345.845</v>
      </c>
      <c r="N54" s="335" t="s">
        <v>9</v>
      </c>
      <c r="O54" s="335"/>
      <c r="P54" s="335">
        <f>P53-K49</f>
        <v>53</v>
      </c>
      <c r="R54" s="335" t="s">
        <v>133</v>
      </c>
      <c r="S54" s="335">
        <f>S52+S53</f>
        <v>9123.9850000000006</v>
      </c>
    </row>
    <row r="55" spans="3:19" x14ac:dyDescent="0.3">
      <c r="H55" s="335">
        <v>5</v>
      </c>
      <c r="I55" s="348">
        <f>D51*J49+2*D51*K49+3*D51*L49+4*D51*M49</f>
        <v>2156.5950000000003</v>
      </c>
      <c r="J55" s="335"/>
      <c r="K55" s="335" t="s">
        <v>126</v>
      </c>
      <c r="L55" s="335">
        <f>SUM(I49:M49)</f>
        <v>135</v>
      </c>
      <c r="N55" s="335" t="s">
        <v>11</v>
      </c>
      <c r="O55" s="335"/>
      <c r="P55" s="335">
        <f>P54-L49</f>
        <v>25</v>
      </c>
    </row>
    <row r="56" spans="3:19" x14ac:dyDescent="0.3">
      <c r="H56" s="335">
        <v>6</v>
      </c>
      <c r="I56" s="335">
        <f>D51*J49+2*D51*K49+3*D51*L49+4*D51*M49+5*D51*N49</f>
        <v>3088.9575000000004</v>
      </c>
      <c r="N56" s="335" t="s">
        <v>13</v>
      </c>
      <c r="O56" s="335"/>
      <c r="P56" s="335">
        <f>P55-M49</f>
        <v>0</v>
      </c>
    </row>
    <row r="57" spans="3:19" x14ac:dyDescent="0.3">
      <c r="N57" s="335" t="s">
        <v>15</v>
      </c>
      <c r="O57" s="335">
        <f>L64</f>
        <v>123</v>
      </c>
      <c r="P57" s="335">
        <f>O57-N49</f>
        <v>100</v>
      </c>
    </row>
    <row r="58" spans="3:19" x14ac:dyDescent="0.3">
      <c r="H58" s="335" t="s">
        <v>152</v>
      </c>
      <c r="I58" s="335"/>
      <c r="N58" s="335" t="s">
        <v>17</v>
      </c>
      <c r="O58" s="335"/>
      <c r="P58" s="335">
        <f>P57-O49</f>
        <v>78</v>
      </c>
    </row>
    <row r="59" spans="3:19" x14ac:dyDescent="0.3">
      <c r="H59" s="335" t="s">
        <v>125</v>
      </c>
      <c r="I59" s="335">
        <v>0</v>
      </c>
      <c r="N59" s="335" t="s">
        <v>19</v>
      </c>
      <c r="O59" s="335"/>
      <c r="P59" s="335">
        <f>P58-P49</f>
        <v>56</v>
      </c>
    </row>
    <row r="60" spans="3:19" x14ac:dyDescent="0.3">
      <c r="H60" s="335" t="s">
        <v>130</v>
      </c>
      <c r="I60" s="335">
        <f>D51*O49</f>
        <v>178.36500000000001</v>
      </c>
      <c r="N60" s="335" t="s">
        <v>21</v>
      </c>
      <c r="O60" s="335"/>
      <c r="P60" s="335">
        <f>P59-Q49</f>
        <v>38</v>
      </c>
    </row>
    <row r="61" spans="3:19" x14ac:dyDescent="0.3">
      <c r="H61" s="335" t="s">
        <v>132</v>
      </c>
      <c r="I61" s="335">
        <f>D51*O49+2*D51*P49</f>
        <v>535.09500000000003</v>
      </c>
      <c r="N61" s="335" t="s">
        <v>23</v>
      </c>
      <c r="O61" s="335"/>
      <c r="P61" s="335">
        <f>P60-R49</f>
        <v>20</v>
      </c>
    </row>
    <row r="62" spans="3:19" x14ac:dyDescent="0.3">
      <c r="H62" s="335" t="s">
        <v>134</v>
      </c>
      <c r="I62" s="335">
        <f>D51*O49+2*D51*P49+3*D51*Q49</f>
        <v>972.9</v>
      </c>
      <c r="N62" s="335" t="s">
        <v>28</v>
      </c>
      <c r="O62" s="347"/>
      <c r="P62" s="347">
        <f>P61-S49</f>
        <v>0</v>
      </c>
    </row>
    <row r="63" spans="3:19" x14ac:dyDescent="0.3">
      <c r="H63" s="335" t="s">
        <v>135</v>
      </c>
      <c r="I63" s="335">
        <f>D51*O49+2*D51*P49+3*D51*Q49+4*D51*R49</f>
        <v>1556.6399999999999</v>
      </c>
      <c r="O63" s="335" t="s">
        <v>142</v>
      </c>
      <c r="P63" s="335">
        <f>SUM(P52:P62)</f>
        <v>558</v>
      </c>
    </row>
    <row r="64" spans="3:19" x14ac:dyDescent="0.3">
      <c r="H64" s="335" t="s">
        <v>136</v>
      </c>
      <c r="I64" s="335">
        <f>D51*O49+2*D51*P49+3*D51*Q49+4*D51*R49+5*D51*S49</f>
        <v>2367.39</v>
      </c>
      <c r="K64" s="335" t="s">
        <v>153</v>
      </c>
      <c r="L64" s="335">
        <f>SUM(N49:S49)</f>
        <v>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94F3-355C-4AD4-8B78-E64A257003CC}">
  <dimension ref="A1:AV58"/>
  <sheetViews>
    <sheetView topLeftCell="I8" zoomScale="80" zoomScaleNormal="80" workbookViewId="0">
      <selection activeCell="W4" sqref="W4"/>
    </sheetView>
  </sheetViews>
  <sheetFormatPr defaultColWidth="8.77734375" defaultRowHeight="14.4" x14ac:dyDescent="0.3"/>
  <cols>
    <col min="5" max="5" width="17.77734375" bestFit="1" customWidth="1"/>
    <col min="6" max="6" width="10.44140625" bestFit="1" customWidth="1"/>
    <col min="8" max="8" width="18.44140625" bestFit="1" customWidth="1"/>
    <col min="9" max="9" width="9.44140625" bestFit="1" customWidth="1"/>
    <col min="17" max="17" width="12.109375" bestFit="1" customWidth="1"/>
    <col min="22" max="22" width="13.33203125" bestFit="1" customWidth="1"/>
    <col min="36" max="36" width="19.6640625" bestFit="1" customWidth="1"/>
  </cols>
  <sheetData>
    <row r="1" spans="1:48" x14ac:dyDescent="0.3">
      <c r="A1" s="5" t="s">
        <v>0</v>
      </c>
      <c r="B1" s="6" t="s">
        <v>1</v>
      </c>
      <c r="C1" s="6" t="s">
        <v>2</v>
      </c>
    </row>
    <row r="2" spans="1:48" x14ac:dyDescent="0.3">
      <c r="A2" s="9" t="s">
        <v>5</v>
      </c>
      <c r="B2" s="10">
        <v>274</v>
      </c>
      <c r="C2" s="10">
        <v>328</v>
      </c>
      <c r="F2" t="s">
        <v>25</v>
      </c>
      <c r="H2" s="20" t="s">
        <v>26</v>
      </c>
      <c r="I2" s="20" t="s">
        <v>27</v>
      </c>
      <c r="J2" s="22" t="s">
        <v>5</v>
      </c>
      <c r="K2" s="22" t="s">
        <v>7</v>
      </c>
      <c r="L2" s="22" t="s">
        <v>9</v>
      </c>
      <c r="M2" s="22" t="s">
        <v>11</v>
      </c>
      <c r="N2" s="22" t="s">
        <v>13</v>
      </c>
      <c r="O2" s="22" t="s">
        <v>15</v>
      </c>
      <c r="P2" s="22" t="s">
        <v>17</v>
      </c>
      <c r="Q2" s="22" t="s">
        <v>19</v>
      </c>
      <c r="R2" s="22" t="s">
        <v>21</v>
      </c>
      <c r="S2" s="22" t="s">
        <v>23</v>
      </c>
      <c r="T2" s="22" t="s">
        <v>28</v>
      </c>
      <c r="V2" s="24" t="s">
        <v>29</v>
      </c>
      <c r="W2" s="24">
        <f>10*B14</f>
        <v>23000</v>
      </c>
    </row>
    <row r="3" spans="1:48" x14ac:dyDescent="0.3">
      <c r="A3" s="9" t="s">
        <v>7</v>
      </c>
      <c r="B3" s="10">
        <v>201</v>
      </c>
      <c r="C3" s="10">
        <v>324</v>
      </c>
      <c r="F3" t="s">
        <v>31</v>
      </c>
      <c r="H3" s="20" t="s">
        <v>32</v>
      </c>
      <c r="I3" s="21"/>
      <c r="J3" s="23">
        <v>328</v>
      </c>
      <c r="K3" s="23">
        <v>324</v>
      </c>
      <c r="L3" s="23">
        <v>320</v>
      </c>
      <c r="M3" s="23">
        <v>318</v>
      </c>
      <c r="N3" s="23">
        <v>319</v>
      </c>
      <c r="O3" s="23">
        <v>297</v>
      </c>
      <c r="P3" s="23">
        <v>289</v>
      </c>
      <c r="Q3" s="23">
        <v>274</v>
      </c>
      <c r="R3" s="23">
        <v>259</v>
      </c>
      <c r="S3" s="23">
        <v>249</v>
      </c>
      <c r="T3" s="23">
        <v>228</v>
      </c>
      <c r="V3" s="26" t="s">
        <v>33</v>
      </c>
      <c r="W3" s="25">
        <f>SUM(J7:T7)*D17</f>
        <v>14629.504200000001</v>
      </c>
    </row>
    <row r="4" spans="1:48" x14ac:dyDescent="0.3">
      <c r="A4" s="9" t="s">
        <v>9</v>
      </c>
      <c r="B4" s="10">
        <v>220</v>
      </c>
      <c r="C4" s="10">
        <v>320</v>
      </c>
      <c r="H4" s="20" t="s">
        <v>35</v>
      </c>
      <c r="I4" s="23">
        <v>328</v>
      </c>
      <c r="J4" s="23">
        <v>324</v>
      </c>
      <c r="K4" s="23">
        <v>320</v>
      </c>
      <c r="L4" s="23">
        <v>318</v>
      </c>
      <c r="M4" s="23">
        <v>319</v>
      </c>
      <c r="N4" s="23">
        <v>297</v>
      </c>
      <c r="O4" s="23">
        <v>289</v>
      </c>
      <c r="P4" s="23">
        <v>274</v>
      </c>
      <c r="Q4" s="23">
        <v>259</v>
      </c>
      <c r="R4" s="23">
        <v>249</v>
      </c>
      <c r="S4" s="23">
        <v>228</v>
      </c>
      <c r="T4" s="21"/>
      <c r="V4" s="26" t="s">
        <v>36</v>
      </c>
      <c r="W4" s="25">
        <f>W2+W3</f>
        <v>37629.504200000003</v>
      </c>
    </row>
    <row r="5" spans="1:48" x14ac:dyDescent="0.3">
      <c r="A5" s="9" t="s">
        <v>11</v>
      </c>
      <c r="B5" s="10">
        <v>244</v>
      </c>
      <c r="C5" s="10">
        <v>318</v>
      </c>
      <c r="H5" s="20" t="s">
        <v>40</v>
      </c>
      <c r="I5" s="21">
        <v>337</v>
      </c>
      <c r="J5" s="21">
        <v>337</v>
      </c>
      <c r="K5" s="21">
        <v>337</v>
      </c>
      <c r="L5" s="21">
        <v>337</v>
      </c>
      <c r="M5" s="21">
        <v>337</v>
      </c>
      <c r="N5" s="21">
        <v>337</v>
      </c>
      <c r="O5" s="21">
        <v>337</v>
      </c>
      <c r="P5" s="21">
        <v>337</v>
      </c>
      <c r="Q5" s="21">
        <v>337</v>
      </c>
      <c r="R5" s="21">
        <v>0</v>
      </c>
      <c r="S5" s="21">
        <v>337</v>
      </c>
      <c r="T5" s="21"/>
    </row>
    <row r="6" spans="1:48" x14ac:dyDescent="0.3">
      <c r="A6" s="9" t="s">
        <v>13</v>
      </c>
      <c r="B6" s="10">
        <v>263</v>
      </c>
      <c r="C6" s="10">
        <v>319</v>
      </c>
      <c r="H6" s="20" t="s">
        <v>43</v>
      </c>
      <c r="I6" s="21"/>
      <c r="J6" s="21">
        <v>337</v>
      </c>
      <c r="K6" s="21">
        <v>337</v>
      </c>
      <c r="L6" s="21">
        <v>337</v>
      </c>
      <c r="M6" s="21">
        <v>337</v>
      </c>
      <c r="N6" s="21">
        <v>337</v>
      </c>
      <c r="O6" s="21">
        <v>337</v>
      </c>
      <c r="P6" s="21">
        <v>337</v>
      </c>
      <c r="Q6" s="21">
        <v>337</v>
      </c>
      <c r="R6" s="21">
        <v>337</v>
      </c>
      <c r="S6" s="21">
        <v>0</v>
      </c>
      <c r="T6" s="21">
        <v>337</v>
      </c>
    </row>
    <row r="7" spans="1:48" x14ac:dyDescent="0.3">
      <c r="A7" s="9" t="s">
        <v>15</v>
      </c>
      <c r="B7" s="10">
        <v>181</v>
      </c>
      <c r="C7" s="10">
        <v>297</v>
      </c>
      <c r="H7" s="20" t="s">
        <v>45</v>
      </c>
      <c r="I7" s="21"/>
      <c r="J7" s="21">
        <f>I5-J3</f>
        <v>9</v>
      </c>
      <c r="K7" s="21">
        <f t="shared" ref="K7:T7" si="0">J5+J7-K3</f>
        <v>22</v>
      </c>
      <c r="L7" s="21">
        <f t="shared" si="0"/>
        <v>39</v>
      </c>
      <c r="M7" s="21">
        <f t="shared" si="0"/>
        <v>58</v>
      </c>
      <c r="N7" s="21">
        <f t="shared" si="0"/>
        <v>76</v>
      </c>
      <c r="O7" s="21">
        <f t="shared" si="0"/>
        <v>116</v>
      </c>
      <c r="P7" s="21">
        <f t="shared" si="0"/>
        <v>164</v>
      </c>
      <c r="Q7" s="21">
        <f t="shared" si="0"/>
        <v>227</v>
      </c>
      <c r="R7" s="21">
        <f t="shared" si="0"/>
        <v>305</v>
      </c>
      <c r="S7" s="21">
        <f t="shared" si="0"/>
        <v>56</v>
      </c>
      <c r="T7" s="21">
        <f t="shared" si="0"/>
        <v>165</v>
      </c>
      <c r="V7" s="67" t="s">
        <v>6</v>
      </c>
      <c r="W7">
        <v>11.826599999999999</v>
      </c>
      <c r="X7" s="67" t="s">
        <v>42</v>
      </c>
      <c r="Y7">
        <v>2300</v>
      </c>
      <c r="AJ7" s="67" t="s">
        <v>6</v>
      </c>
      <c r="AK7">
        <v>11.826599999999999</v>
      </c>
      <c r="AL7" s="67" t="s">
        <v>42</v>
      </c>
      <c r="AM7">
        <v>2300</v>
      </c>
    </row>
    <row r="8" spans="1:48" x14ac:dyDescent="0.3">
      <c r="A8" s="9" t="s">
        <v>17</v>
      </c>
      <c r="B8" s="10">
        <v>235</v>
      </c>
      <c r="C8" s="10">
        <v>289</v>
      </c>
    </row>
    <row r="9" spans="1:48" x14ac:dyDescent="0.3">
      <c r="A9" s="9" t="s">
        <v>19</v>
      </c>
      <c r="B9" s="10">
        <v>212</v>
      </c>
      <c r="C9" s="10">
        <v>274</v>
      </c>
      <c r="H9" s="68" t="s">
        <v>162</v>
      </c>
      <c r="I9" s="69" t="s">
        <v>163</v>
      </c>
      <c r="J9" s="70">
        <v>328</v>
      </c>
      <c r="K9" s="70">
        <v>324</v>
      </c>
      <c r="L9" s="70">
        <v>320</v>
      </c>
      <c r="M9" s="70">
        <v>318</v>
      </c>
      <c r="N9" s="19">
        <v>319</v>
      </c>
      <c r="O9" s="19">
        <v>297</v>
      </c>
      <c r="P9" s="19">
        <v>289</v>
      </c>
      <c r="Q9" s="19">
        <v>274</v>
      </c>
      <c r="R9" s="19">
        <v>259</v>
      </c>
      <c r="S9" s="19">
        <v>249</v>
      </c>
      <c r="T9" s="19">
        <v>228</v>
      </c>
      <c r="V9" s="81" t="s">
        <v>96</v>
      </c>
      <c r="W9" s="82" t="s">
        <v>163</v>
      </c>
      <c r="X9" s="80">
        <v>328</v>
      </c>
      <c r="Y9" s="80">
        <v>324</v>
      </c>
      <c r="Z9" s="80">
        <v>320</v>
      </c>
      <c r="AA9" s="80">
        <v>318</v>
      </c>
      <c r="AB9" s="80">
        <v>319</v>
      </c>
      <c r="AC9" s="80">
        <v>297</v>
      </c>
      <c r="AD9" s="80">
        <v>289</v>
      </c>
      <c r="AE9" s="80">
        <v>274</v>
      </c>
      <c r="AF9" s="80">
        <v>259</v>
      </c>
      <c r="AG9" s="80">
        <v>249</v>
      </c>
      <c r="AH9" s="80">
        <v>228</v>
      </c>
      <c r="AJ9" s="47" t="s">
        <v>164</v>
      </c>
      <c r="AK9" s="98" t="s">
        <v>163</v>
      </c>
      <c r="AL9" s="99">
        <v>328</v>
      </c>
      <c r="AM9" s="49">
        <v>324</v>
      </c>
      <c r="AN9" s="49">
        <v>320</v>
      </c>
      <c r="AO9" s="49">
        <v>318</v>
      </c>
      <c r="AP9" s="49">
        <v>319</v>
      </c>
      <c r="AQ9" s="49">
        <v>297</v>
      </c>
      <c r="AR9" s="49">
        <v>289</v>
      </c>
      <c r="AS9" s="49">
        <v>274</v>
      </c>
      <c r="AT9" s="49">
        <v>259</v>
      </c>
      <c r="AU9" s="49">
        <v>249</v>
      </c>
      <c r="AV9" s="49">
        <v>228</v>
      </c>
    </row>
    <row r="10" spans="1:48" x14ac:dyDescent="0.3">
      <c r="A10" s="9" t="s">
        <v>21</v>
      </c>
      <c r="B10" s="10">
        <v>209</v>
      </c>
      <c r="C10" s="10">
        <v>259</v>
      </c>
      <c r="I10" s="71" t="s">
        <v>165</v>
      </c>
      <c r="J10" s="72"/>
      <c r="K10" s="72"/>
      <c r="L10" s="72"/>
      <c r="M10" s="73"/>
      <c r="W10" s="83" t="s">
        <v>165</v>
      </c>
      <c r="X10" s="84"/>
      <c r="Y10" s="84"/>
      <c r="Z10" s="84"/>
      <c r="AA10" s="85"/>
      <c r="AK10" s="92" t="s">
        <v>165</v>
      </c>
      <c r="AL10" s="93"/>
    </row>
    <row r="11" spans="1:48" x14ac:dyDescent="0.3">
      <c r="A11" s="9" t="s">
        <v>23</v>
      </c>
      <c r="B11" s="10">
        <v>226</v>
      </c>
      <c r="C11" s="10">
        <v>249</v>
      </c>
      <c r="I11" s="74" t="s">
        <v>82</v>
      </c>
      <c r="J11" s="17">
        <v>2300</v>
      </c>
      <c r="K11" s="17"/>
      <c r="L11" s="17"/>
      <c r="M11" s="75"/>
      <c r="W11" s="86" t="s">
        <v>82</v>
      </c>
      <c r="X11" s="79">
        <f>2300/X9</f>
        <v>7.0121951219512191</v>
      </c>
      <c r="Y11" s="79"/>
      <c r="Z11" s="79"/>
      <c r="AA11" s="87"/>
      <c r="AB11" s="91" t="s">
        <v>126</v>
      </c>
      <c r="AC11" s="80">
        <v>328</v>
      </c>
      <c r="AE11" s="79" t="s">
        <v>29</v>
      </c>
      <c r="AF11" s="79">
        <f>11*2300</f>
        <v>25300</v>
      </c>
      <c r="AK11" s="94" t="s">
        <v>166</v>
      </c>
      <c r="AL11" s="95"/>
      <c r="AN11" t="s">
        <v>167</v>
      </c>
      <c r="AQ11" s="50" t="s">
        <v>29</v>
      </c>
      <c r="AR11" s="50">
        <f>11*2300</f>
        <v>25300</v>
      </c>
    </row>
    <row r="12" spans="1:48" x14ac:dyDescent="0.3">
      <c r="A12" s="9" t="s">
        <v>28</v>
      </c>
      <c r="B12" s="10">
        <v>177</v>
      </c>
      <c r="C12" s="10">
        <v>228</v>
      </c>
      <c r="I12" s="74" t="s">
        <v>85</v>
      </c>
      <c r="J12" s="17">
        <f>(J11+D17*K9)/2</f>
        <v>3065.9092000000001</v>
      </c>
      <c r="K12" s="17"/>
      <c r="L12" s="17" t="s">
        <v>168</v>
      </c>
      <c r="M12" s="75"/>
      <c r="N12" s="18" t="s">
        <v>126</v>
      </c>
      <c r="O12" s="19">
        <v>328</v>
      </c>
      <c r="Q12" s="17" t="s">
        <v>29</v>
      </c>
      <c r="R12" s="17">
        <f>11*2300</f>
        <v>25300</v>
      </c>
      <c r="W12" s="86" t="s">
        <v>85</v>
      </c>
      <c r="X12" s="79">
        <f>(Y7+W7*Y9)/(X9+Y9)</f>
        <v>9.404629447852761</v>
      </c>
      <c r="Y12" s="79"/>
      <c r="Z12" s="79" t="s">
        <v>168</v>
      </c>
      <c r="AA12" s="87"/>
      <c r="AB12" s="91" t="s">
        <v>145</v>
      </c>
      <c r="AC12" s="80">
        <v>324</v>
      </c>
      <c r="AE12" s="79" t="s">
        <v>33</v>
      </c>
      <c r="AF12" s="79">
        <v>0</v>
      </c>
      <c r="AK12" s="94">
        <v>1</v>
      </c>
      <c r="AL12" s="95">
        <v>0</v>
      </c>
      <c r="AQ12" s="50" t="s">
        <v>33</v>
      </c>
      <c r="AR12" s="50">
        <v>0</v>
      </c>
    </row>
    <row r="13" spans="1:48" x14ac:dyDescent="0.3">
      <c r="B13" t="s">
        <v>72</v>
      </c>
      <c r="C13">
        <f>AVERAGE(C2:C12)</f>
        <v>291.36363636363637</v>
      </c>
      <c r="I13" s="74"/>
      <c r="J13" s="17"/>
      <c r="K13" s="17"/>
      <c r="L13" s="17" t="s">
        <v>169</v>
      </c>
      <c r="M13" s="75"/>
      <c r="N13" s="18" t="s">
        <v>145</v>
      </c>
      <c r="O13" s="19">
        <v>324</v>
      </c>
      <c r="Q13" s="17" t="s">
        <v>33</v>
      </c>
      <c r="R13" s="17">
        <v>0</v>
      </c>
      <c r="W13" s="86"/>
      <c r="X13" s="79"/>
      <c r="Y13" s="79"/>
      <c r="Z13" s="79"/>
      <c r="AA13" s="87"/>
      <c r="AB13" s="91" t="s">
        <v>170</v>
      </c>
      <c r="AC13" s="80">
        <v>320</v>
      </c>
      <c r="AE13" s="79" t="s">
        <v>36</v>
      </c>
      <c r="AF13" s="79">
        <v>25300</v>
      </c>
      <c r="AK13" s="94">
        <v>2</v>
      </c>
      <c r="AL13" s="95">
        <f>AK7*AM9</f>
        <v>3831.8183999999997</v>
      </c>
      <c r="AQ13" s="50" t="s">
        <v>36</v>
      </c>
      <c r="AR13" s="50">
        <v>25300</v>
      </c>
    </row>
    <row r="14" spans="1:48" x14ac:dyDescent="0.3">
      <c r="A14" t="s">
        <v>171</v>
      </c>
      <c r="B14">
        <v>2300</v>
      </c>
      <c r="I14" s="74" t="s">
        <v>172</v>
      </c>
      <c r="J14" s="17"/>
      <c r="K14" s="17"/>
      <c r="L14" s="17"/>
      <c r="M14" s="75"/>
      <c r="N14" s="18" t="s">
        <v>170</v>
      </c>
      <c r="O14" s="19">
        <v>320</v>
      </c>
      <c r="Q14" s="17" t="s">
        <v>36</v>
      </c>
      <c r="R14" s="17">
        <v>25300</v>
      </c>
      <c r="W14" s="86" t="s">
        <v>172</v>
      </c>
      <c r="X14" s="79"/>
      <c r="Y14" s="79"/>
      <c r="Z14" s="79"/>
      <c r="AA14" s="87"/>
      <c r="AB14" s="91" t="s">
        <v>173</v>
      </c>
      <c r="AC14" s="80">
        <v>318</v>
      </c>
      <c r="AK14" s="94"/>
      <c r="AL14" s="95"/>
    </row>
    <row r="15" spans="1:48" x14ac:dyDescent="0.3">
      <c r="I15" s="74"/>
      <c r="J15" s="17"/>
      <c r="K15" s="17"/>
      <c r="L15" s="17"/>
      <c r="M15" s="75"/>
      <c r="N15" s="18" t="s">
        <v>173</v>
      </c>
      <c r="O15" s="19">
        <v>318</v>
      </c>
      <c r="W15" s="86" t="s">
        <v>82</v>
      </c>
      <c r="X15" s="79">
        <f>Y7/Y9</f>
        <v>7.0987654320987659</v>
      </c>
      <c r="Y15" s="79"/>
      <c r="Z15" s="79"/>
      <c r="AA15" s="87"/>
      <c r="AB15" s="91" t="s">
        <v>174</v>
      </c>
      <c r="AC15" s="80">
        <v>319</v>
      </c>
      <c r="AK15" s="94" t="s">
        <v>172</v>
      </c>
      <c r="AL15" s="95"/>
    </row>
    <row r="16" spans="1:48" x14ac:dyDescent="0.3">
      <c r="A16" s="67" t="s">
        <v>3</v>
      </c>
      <c r="B16">
        <v>0.46</v>
      </c>
      <c r="C16" t="s">
        <v>4</v>
      </c>
      <c r="D16">
        <v>25.71</v>
      </c>
      <c r="I16" s="74" t="s">
        <v>82</v>
      </c>
      <c r="J16" s="17">
        <v>2300</v>
      </c>
      <c r="K16" s="17"/>
      <c r="L16" s="17"/>
      <c r="M16" s="75"/>
      <c r="N16" s="18" t="s">
        <v>174</v>
      </c>
      <c r="O16" s="19">
        <v>319</v>
      </c>
      <c r="W16" s="86" t="s">
        <v>85</v>
      </c>
      <c r="X16" s="79">
        <f>(Y7+W7*Z9)/(Y9+Z9)</f>
        <v>9.4480000000000004</v>
      </c>
      <c r="Y16" s="79"/>
      <c r="Z16" s="79" t="s">
        <v>168</v>
      </c>
      <c r="AA16" s="87"/>
      <c r="AB16" s="91" t="s">
        <v>153</v>
      </c>
      <c r="AC16" s="80">
        <v>297</v>
      </c>
      <c r="AK16" s="94" t="s">
        <v>166</v>
      </c>
      <c r="AL16" s="95"/>
    </row>
    <row r="17" spans="2:38" x14ac:dyDescent="0.3">
      <c r="C17" t="s">
        <v>6</v>
      </c>
      <c r="D17">
        <f>B16*D16</f>
        <v>11.826600000000001</v>
      </c>
      <c r="I17" s="74" t="s">
        <v>85</v>
      </c>
      <c r="J17" s="17">
        <f>(J16+D17*L9)/2</f>
        <v>3042.2560000000003</v>
      </c>
      <c r="K17" s="17"/>
      <c r="L17" s="17" t="s">
        <v>168</v>
      </c>
      <c r="M17" s="75"/>
      <c r="N17" s="18" t="s">
        <v>153</v>
      </c>
      <c r="O17" s="19">
        <v>297</v>
      </c>
      <c r="W17" s="86"/>
      <c r="X17" s="79"/>
      <c r="Y17" s="79"/>
      <c r="Z17" s="79"/>
      <c r="AA17" s="87"/>
      <c r="AB17" s="91" t="s">
        <v>151</v>
      </c>
      <c r="AC17" s="80">
        <v>289</v>
      </c>
      <c r="AK17" s="94">
        <v>1</v>
      </c>
      <c r="AL17" s="95">
        <v>0</v>
      </c>
    </row>
    <row r="18" spans="2:38" x14ac:dyDescent="0.3">
      <c r="I18" s="74"/>
      <c r="J18" s="17"/>
      <c r="K18" s="17"/>
      <c r="L18" s="17" t="s">
        <v>175</v>
      </c>
      <c r="M18" s="75"/>
      <c r="N18" s="18" t="s">
        <v>151</v>
      </c>
      <c r="O18" s="19">
        <v>289</v>
      </c>
      <c r="W18" s="86" t="s">
        <v>176</v>
      </c>
      <c r="X18" s="79"/>
      <c r="Y18" s="79"/>
      <c r="Z18" s="79"/>
      <c r="AA18" s="87"/>
      <c r="AB18" s="91" t="s">
        <v>156</v>
      </c>
      <c r="AC18" s="80">
        <v>274</v>
      </c>
      <c r="AK18" s="94">
        <v>2</v>
      </c>
      <c r="AL18" s="95">
        <f>AK7*AN9</f>
        <v>3784.5119999999997</v>
      </c>
    </row>
    <row r="19" spans="2:38" x14ac:dyDescent="0.3">
      <c r="B19" t="s">
        <v>177</v>
      </c>
      <c r="C19" s="16">
        <f>SQRT(2*B14*C13/D17)</f>
        <v>336.64071149548568</v>
      </c>
      <c r="I19" s="74" t="s">
        <v>176</v>
      </c>
      <c r="J19" s="17"/>
      <c r="K19" s="17"/>
      <c r="L19" s="17"/>
      <c r="M19" s="75"/>
      <c r="N19" s="18" t="s">
        <v>156</v>
      </c>
      <c r="O19" s="19">
        <v>274</v>
      </c>
      <c r="W19" s="86" t="s">
        <v>125</v>
      </c>
      <c r="X19" s="79">
        <f>Y7/Z9</f>
        <v>7.1875</v>
      </c>
      <c r="Y19" s="79"/>
      <c r="Z19" s="79"/>
      <c r="AA19" s="87"/>
      <c r="AB19" s="91" t="s">
        <v>178</v>
      </c>
      <c r="AC19" s="80">
        <v>259</v>
      </c>
      <c r="AK19" s="94"/>
      <c r="AL19" s="95"/>
    </row>
    <row r="20" spans="2:38" x14ac:dyDescent="0.3">
      <c r="I20" s="74"/>
      <c r="J20" s="17"/>
      <c r="K20" s="17"/>
      <c r="L20" s="17"/>
      <c r="M20" s="75"/>
      <c r="N20" s="18" t="s">
        <v>178</v>
      </c>
      <c r="O20" s="19">
        <v>259</v>
      </c>
      <c r="W20" s="86" t="s">
        <v>130</v>
      </c>
      <c r="X20" s="79">
        <f>(Y7+W7*AA9)/(Z9+AA9)</f>
        <v>9.4997786833855802</v>
      </c>
      <c r="Y20" s="79"/>
      <c r="Z20" s="79" t="s">
        <v>168</v>
      </c>
      <c r="AA20" s="87"/>
      <c r="AB20" s="91" t="s">
        <v>179</v>
      </c>
      <c r="AC20" s="80">
        <v>249</v>
      </c>
      <c r="AK20" s="94" t="s">
        <v>176</v>
      </c>
      <c r="AL20" s="95"/>
    </row>
    <row r="21" spans="2:38" x14ac:dyDescent="0.3">
      <c r="I21" s="74" t="s">
        <v>82</v>
      </c>
      <c r="J21" s="17">
        <v>2300</v>
      </c>
      <c r="K21" s="17"/>
      <c r="L21" s="17"/>
      <c r="M21" s="75"/>
      <c r="N21" s="18" t="s">
        <v>179</v>
      </c>
      <c r="O21" s="19">
        <v>249</v>
      </c>
      <c r="W21" s="86"/>
      <c r="X21" s="79"/>
      <c r="Y21" s="79"/>
      <c r="Z21" s="79"/>
      <c r="AA21" s="87"/>
      <c r="AB21" s="91" t="s">
        <v>180</v>
      </c>
      <c r="AC21" s="80">
        <v>228</v>
      </c>
      <c r="AK21" s="94" t="s">
        <v>166</v>
      </c>
      <c r="AL21" s="95"/>
    </row>
    <row r="22" spans="2:38" x14ac:dyDescent="0.3">
      <c r="I22" s="74" t="s">
        <v>85</v>
      </c>
      <c r="J22" s="17">
        <f>(J21+D17*M9)/2</f>
        <v>3030.4294</v>
      </c>
      <c r="K22" s="17"/>
      <c r="L22" s="17" t="s">
        <v>168</v>
      </c>
      <c r="M22" s="75"/>
      <c r="N22" s="18" t="s">
        <v>180</v>
      </c>
      <c r="O22" s="19">
        <v>228</v>
      </c>
      <c r="W22" s="86" t="s">
        <v>181</v>
      </c>
      <c r="X22" s="79"/>
      <c r="Y22" s="79"/>
      <c r="Z22" s="79"/>
      <c r="AA22" s="87"/>
      <c r="AK22" s="94">
        <v>1</v>
      </c>
      <c r="AL22" s="95">
        <v>0</v>
      </c>
    </row>
    <row r="23" spans="2:38" x14ac:dyDescent="0.3">
      <c r="I23" s="74"/>
      <c r="J23" s="17"/>
      <c r="K23" s="17"/>
      <c r="L23" s="17" t="s">
        <v>182</v>
      </c>
      <c r="M23" s="75"/>
      <c r="W23" s="86"/>
      <c r="X23" s="79"/>
      <c r="Y23" s="79"/>
      <c r="Z23" s="79"/>
      <c r="AA23" s="87"/>
      <c r="AK23" s="94">
        <v>2</v>
      </c>
      <c r="AL23" s="95">
        <f>AK7*AO9</f>
        <v>3760.8587999999995</v>
      </c>
    </row>
    <row r="24" spans="2:38" x14ac:dyDescent="0.3">
      <c r="I24" s="74" t="s">
        <v>181</v>
      </c>
      <c r="J24" s="17"/>
      <c r="K24" s="17"/>
      <c r="L24" s="17"/>
      <c r="M24" s="75"/>
      <c r="W24" s="86" t="s">
        <v>125</v>
      </c>
      <c r="X24" s="79">
        <f>Y7/AA9</f>
        <v>7.232704402515723</v>
      </c>
      <c r="Y24" s="79"/>
      <c r="Z24" s="79"/>
      <c r="AA24" s="87"/>
      <c r="AK24" s="94"/>
      <c r="AL24" s="95"/>
    </row>
    <row r="25" spans="2:38" x14ac:dyDescent="0.3">
      <c r="I25" s="74"/>
      <c r="J25" s="17"/>
      <c r="K25" s="17"/>
      <c r="L25" s="17"/>
      <c r="M25" s="75"/>
      <c r="W25" s="86" t="s">
        <v>130</v>
      </c>
      <c r="X25" s="79">
        <f>(Y7+W7*AB9)/(AA9+AB9)</f>
        <v>9.5332580847723705</v>
      </c>
      <c r="Y25" s="79"/>
      <c r="Z25" s="79" t="s">
        <v>168</v>
      </c>
      <c r="AA25" s="87"/>
      <c r="AK25" s="94" t="s">
        <v>181</v>
      </c>
      <c r="AL25" s="95"/>
    </row>
    <row r="26" spans="2:38" x14ac:dyDescent="0.3">
      <c r="I26" s="74" t="s">
        <v>82</v>
      </c>
      <c r="J26" s="17">
        <v>2300</v>
      </c>
      <c r="K26" s="17"/>
      <c r="L26" s="17"/>
      <c r="M26" s="75"/>
      <c r="W26" s="86"/>
      <c r="X26" s="79"/>
      <c r="Y26" s="79"/>
      <c r="Z26" s="79"/>
      <c r="AA26" s="87"/>
      <c r="AK26" s="94" t="s">
        <v>166</v>
      </c>
      <c r="AL26" s="95"/>
    </row>
    <row r="27" spans="2:38" x14ac:dyDescent="0.3">
      <c r="I27" s="74" t="s">
        <v>85</v>
      </c>
      <c r="J27" s="17">
        <f>(J26+D17*N9)/2</f>
        <v>3036.3427000000001</v>
      </c>
      <c r="K27" s="17"/>
      <c r="L27" s="17" t="s">
        <v>168</v>
      </c>
      <c r="M27" s="75"/>
      <c r="W27" s="86" t="s">
        <v>183</v>
      </c>
      <c r="X27" s="79"/>
      <c r="Y27" s="79"/>
      <c r="Z27" s="79"/>
      <c r="AA27" s="87"/>
      <c r="AK27" s="94">
        <v>1</v>
      </c>
      <c r="AL27" s="95">
        <v>0</v>
      </c>
    </row>
    <row r="28" spans="2:38" x14ac:dyDescent="0.3">
      <c r="I28" s="74"/>
      <c r="J28" s="17"/>
      <c r="K28" s="17"/>
      <c r="L28" s="17" t="s">
        <v>184</v>
      </c>
      <c r="M28" s="75"/>
      <c r="W28" s="86" t="s">
        <v>125</v>
      </c>
      <c r="X28" s="79">
        <f>Y7/AB9</f>
        <v>7.2100313479623823</v>
      </c>
      <c r="Y28" s="79"/>
      <c r="Z28" s="79"/>
      <c r="AA28" s="87"/>
      <c r="AK28" s="94">
        <v>2</v>
      </c>
      <c r="AL28" s="95">
        <f>AK7*AP9</f>
        <v>3772.6853999999998</v>
      </c>
    </row>
    <row r="29" spans="2:38" x14ac:dyDescent="0.3">
      <c r="I29" s="74" t="s">
        <v>183</v>
      </c>
      <c r="J29" s="17"/>
      <c r="K29" s="17"/>
      <c r="L29" s="17"/>
      <c r="M29" s="75"/>
      <c r="W29" s="86" t="s">
        <v>130</v>
      </c>
      <c r="X29" s="79">
        <f>(Y7+W7*AC9)/(AB9+AC9)</f>
        <v>9.4358769480519484</v>
      </c>
      <c r="Y29" s="79"/>
      <c r="Z29" s="79" t="s">
        <v>168</v>
      </c>
      <c r="AA29" s="87"/>
      <c r="AK29" s="94"/>
      <c r="AL29" s="95"/>
    </row>
    <row r="30" spans="2:38" x14ac:dyDescent="0.3">
      <c r="I30" s="74"/>
      <c r="J30" s="17"/>
      <c r="K30" s="17"/>
      <c r="L30" s="17"/>
      <c r="M30" s="75"/>
      <c r="W30" s="86"/>
      <c r="X30" s="79"/>
      <c r="Y30" s="79"/>
      <c r="Z30" s="79"/>
      <c r="AA30" s="87"/>
      <c r="AK30" s="94" t="s">
        <v>183</v>
      </c>
      <c r="AL30" s="95"/>
    </row>
    <row r="31" spans="2:38" x14ac:dyDescent="0.3">
      <c r="I31" s="74" t="s">
        <v>82</v>
      </c>
      <c r="J31" s="17">
        <v>2300</v>
      </c>
      <c r="K31" s="17"/>
      <c r="L31" s="17"/>
      <c r="M31" s="75"/>
      <c r="W31" s="86" t="s">
        <v>185</v>
      </c>
      <c r="X31" s="79"/>
      <c r="Y31" s="79"/>
      <c r="Z31" s="79"/>
      <c r="AA31" s="87"/>
      <c r="AK31" s="94" t="s">
        <v>166</v>
      </c>
      <c r="AL31" s="95"/>
    </row>
    <row r="32" spans="2:38" x14ac:dyDescent="0.3">
      <c r="I32" s="74" t="s">
        <v>85</v>
      </c>
      <c r="J32" s="17">
        <f>(J31+D17*O9)/2</f>
        <v>2906.2501000000002</v>
      </c>
      <c r="K32" s="17"/>
      <c r="L32" s="17" t="s">
        <v>168</v>
      </c>
      <c r="M32" s="75"/>
      <c r="W32" s="86" t="s">
        <v>125</v>
      </c>
      <c r="X32" s="79">
        <f>Y7/AC9</f>
        <v>7.7441077441077439</v>
      </c>
      <c r="Y32" s="79"/>
      <c r="Z32" s="79"/>
      <c r="AA32" s="87"/>
      <c r="AK32" s="94">
        <v>1</v>
      </c>
      <c r="AL32" s="95">
        <v>0</v>
      </c>
    </row>
    <row r="33" spans="9:38" x14ac:dyDescent="0.3">
      <c r="I33" s="74"/>
      <c r="J33" s="17"/>
      <c r="K33" s="17"/>
      <c r="L33" s="17" t="s">
        <v>186</v>
      </c>
      <c r="M33" s="75"/>
      <c r="W33" s="86" t="s">
        <v>130</v>
      </c>
      <c r="X33" s="79">
        <f>(Y7+W7*AD9)/(AC9+AD9)</f>
        <v>9.7574870307167227</v>
      </c>
      <c r="Y33" s="79"/>
      <c r="Z33" s="79" t="s">
        <v>168</v>
      </c>
      <c r="AA33" s="87"/>
      <c r="AK33" s="94">
        <v>2</v>
      </c>
      <c r="AL33" s="95">
        <f>AK7*AQ9</f>
        <v>3512.5001999999999</v>
      </c>
    </row>
    <row r="34" spans="9:38" x14ac:dyDescent="0.3">
      <c r="I34" s="74" t="s">
        <v>187</v>
      </c>
      <c r="J34" s="17"/>
      <c r="K34" s="17"/>
      <c r="L34" s="17"/>
      <c r="M34" s="75"/>
      <c r="W34" s="86"/>
      <c r="X34" s="79"/>
      <c r="Y34" s="79"/>
      <c r="Z34" s="79"/>
      <c r="AA34" s="87"/>
      <c r="AK34" s="94"/>
      <c r="AL34" s="95"/>
    </row>
    <row r="35" spans="9:38" x14ac:dyDescent="0.3">
      <c r="I35" s="74"/>
      <c r="J35" s="17"/>
      <c r="K35" s="17"/>
      <c r="L35" s="17"/>
      <c r="M35" s="75"/>
      <c r="W35" s="86" t="s">
        <v>188</v>
      </c>
      <c r="X35" s="79"/>
      <c r="Y35" s="79"/>
      <c r="Z35" s="79"/>
      <c r="AA35" s="87"/>
      <c r="AK35" s="94" t="s">
        <v>185</v>
      </c>
      <c r="AL35" s="95"/>
    </row>
    <row r="36" spans="9:38" x14ac:dyDescent="0.3">
      <c r="I36" s="74" t="s">
        <v>82</v>
      </c>
      <c r="J36" s="17">
        <v>2300</v>
      </c>
      <c r="K36" s="17"/>
      <c r="L36" s="17"/>
      <c r="M36" s="75"/>
      <c r="W36" s="86" t="s">
        <v>125</v>
      </c>
      <c r="X36" s="79">
        <f>Y7/AD9</f>
        <v>7.9584775086505193</v>
      </c>
      <c r="Y36" s="79"/>
      <c r="Z36" s="79" t="s">
        <v>168</v>
      </c>
      <c r="AA36" s="87"/>
      <c r="AK36" s="94" t="s">
        <v>166</v>
      </c>
      <c r="AL36" s="95"/>
    </row>
    <row r="37" spans="9:38" x14ac:dyDescent="0.3">
      <c r="I37" s="74" t="s">
        <v>85</v>
      </c>
      <c r="J37" s="17">
        <f>(J36+D17*P9)/2</f>
        <v>2858.9436999999998</v>
      </c>
      <c r="K37" s="17"/>
      <c r="L37" s="17" t="s">
        <v>168</v>
      </c>
      <c r="M37" s="75"/>
      <c r="W37" s="86" t="s">
        <v>130</v>
      </c>
      <c r="X37" s="79">
        <f>(Y7+W7*AE9)/(AD9+AE9)</f>
        <v>9.8410095914742453</v>
      </c>
      <c r="Y37" s="79"/>
      <c r="Z37" s="79"/>
      <c r="AA37" s="87"/>
      <c r="AK37" s="94">
        <v>1</v>
      </c>
      <c r="AL37" s="95">
        <v>0</v>
      </c>
    </row>
    <row r="38" spans="9:38" x14ac:dyDescent="0.3">
      <c r="I38" s="74"/>
      <c r="J38" s="17"/>
      <c r="K38" s="17"/>
      <c r="L38" s="17" t="s">
        <v>189</v>
      </c>
      <c r="M38" s="75"/>
      <c r="W38" s="86"/>
      <c r="X38" s="79"/>
      <c r="Y38" s="79"/>
      <c r="Z38" s="79"/>
      <c r="AA38" s="87"/>
      <c r="AK38" s="94">
        <v>2</v>
      </c>
      <c r="AL38" s="95">
        <f>AK7*AR9</f>
        <v>3417.8873999999996</v>
      </c>
    </row>
    <row r="39" spans="9:38" x14ac:dyDescent="0.3">
      <c r="I39" s="74" t="s">
        <v>188</v>
      </c>
      <c r="J39" s="17"/>
      <c r="K39" s="17"/>
      <c r="L39" s="17"/>
      <c r="M39" s="75"/>
      <c r="W39" s="86" t="s">
        <v>190</v>
      </c>
      <c r="X39" s="79"/>
      <c r="Y39" s="79"/>
      <c r="Z39" s="79"/>
      <c r="AA39" s="87"/>
      <c r="AK39" s="94"/>
      <c r="AL39" s="95"/>
    </row>
    <row r="40" spans="9:38" x14ac:dyDescent="0.3">
      <c r="I40" s="74"/>
      <c r="J40" s="17"/>
      <c r="K40" s="17"/>
      <c r="L40" s="17"/>
      <c r="M40" s="75"/>
      <c r="W40" s="86" t="s">
        <v>125</v>
      </c>
      <c r="X40" s="79">
        <f>Y7/AE9</f>
        <v>8.3941605839416056</v>
      </c>
      <c r="Y40" s="79"/>
      <c r="Z40" s="79" t="s">
        <v>168</v>
      </c>
      <c r="AA40" s="87"/>
      <c r="AK40" s="94" t="s">
        <v>188</v>
      </c>
      <c r="AL40" s="95"/>
    </row>
    <row r="41" spans="9:38" x14ac:dyDescent="0.3">
      <c r="I41" s="74" t="s">
        <v>191</v>
      </c>
      <c r="J41" s="17">
        <v>2300</v>
      </c>
      <c r="K41" s="17"/>
      <c r="L41" s="17"/>
      <c r="M41" s="75"/>
      <c r="W41" s="86" t="s">
        <v>130</v>
      </c>
      <c r="X41" s="79">
        <f>(Y7+W7*AF9)/(AE9+AF9)</f>
        <v>10.062081425891181</v>
      </c>
      <c r="Y41" s="79"/>
      <c r="Z41" s="79"/>
      <c r="AA41" s="87"/>
      <c r="AK41" s="94" t="s">
        <v>166</v>
      </c>
      <c r="AL41" s="95"/>
    </row>
    <row r="42" spans="9:38" x14ac:dyDescent="0.3">
      <c r="I42" s="74" t="s">
        <v>85</v>
      </c>
      <c r="J42" s="17">
        <f>(J41+D17*Q9)/2</f>
        <v>2770.2442000000001</v>
      </c>
      <c r="K42" s="17"/>
      <c r="L42" s="17" t="s">
        <v>168</v>
      </c>
      <c r="M42" s="75"/>
      <c r="W42" s="86"/>
      <c r="X42" s="79"/>
      <c r="Y42" s="79"/>
      <c r="Z42" s="79"/>
      <c r="AA42" s="87"/>
      <c r="AK42" s="94">
        <v>1</v>
      </c>
      <c r="AL42" s="95">
        <v>0</v>
      </c>
    </row>
    <row r="43" spans="9:38" x14ac:dyDescent="0.3">
      <c r="I43" s="74"/>
      <c r="J43" s="17"/>
      <c r="K43" s="17"/>
      <c r="L43" s="17" t="s">
        <v>192</v>
      </c>
      <c r="M43" s="75"/>
      <c r="W43" s="86" t="s">
        <v>193</v>
      </c>
      <c r="X43" s="79"/>
      <c r="Y43" s="79"/>
      <c r="Z43" s="79"/>
      <c r="AA43" s="87"/>
      <c r="AK43" s="94">
        <v>2</v>
      </c>
      <c r="AL43" s="95">
        <f>AK7*AS9</f>
        <v>3240.4883999999997</v>
      </c>
    </row>
    <row r="44" spans="9:38" x14ac:dyDescent="0.3">
      <c r="I44" s="74" t="s">
        <v>194</v>
      </c>
      <c r="J44" s="17"/>
      <c r="K44" s="17"/>
      <c r="L44" s="17"/>
      <c r="M44" s="75"/>
      <c r="W44" s="86" t="s">
        <v>125</v>
      </c>
      <c r="X44" s="79">
        <f>Y7/AF9</f>
        <v>8.8803088803088794</v>
      </c>
      <c r="Y44" s="79"/>
      <c r="Z44" s="79" t="s">
        <v>168</v>
      </c>
      <c r="AA44" s="87"/>
      <c r="AK44" s="94"/>
      <c r="AL44" s="95"/>
    </row>
    <row r="45" spans="9:38" x14ac:dyDescent="0.3">
      <c r="I45" s="74"/>
      <c r="J45" s="17"/>
      <c r="K45" s="17"/>
      <c r="L45" s="17"/>
      <c r="M45" s="75"/>
      <c r="W45" s="86" t="s">
        <v>130</v>
      </c>
      <c r="X45" s="79">
        <f>(Y7+W7*AG9)/(AF9+AG9)</f>
        <v>10.324455511811022</v>
      </c>
      <c r="Y45" s="79"/>
      <c r="Z45" s="79"/>
      <c r="AA45" s="87"/>
      <c r="AK45" s="94" t="s">
        <v>190</v>
      </c>
      <c r="AL45" s="95"/>
    </row>
    <row r="46" spans="9:38" x14ac:dyDescent="0.3">
      <c r="I46" s="74" t="s">
        <v>82</v>
      </c>
      <c r="J46" s="17">
        <v>2300</v>
      </c>
      <c r="K46" s="17"/>
      <c r="L46" s="17"/>
      <c r="M46" s="75"/>
      <c r="W46" s="86"/>
      <c r="X46" s="79"/>
      <c r="Y46" s="79"/>
      <c r="Z46" s="79"/>
      <c r="AA46" s="87"/>
      <c r="AK46" s="94" t="s">
        <v>195</v>
      </c>
      <c r="AL46" s="95"/>
    </row>
    <row r="47" spans="9:38" x14ac:dyDescent="0.3">
      <c r="I47" s="74" t="s">
        <v>85</v>
      </c>
      <c r="J47" s="17">
        <f>(J46+D17*R9)/2</f>
        <v>2681.5447000000004</v>
      </c>
      <c r="K47" s="17"/>
      <c r="L47" s="17" t="s">
        <v>168</v>
      </c>
      <c r="M47" s="75"/>
      <c r="W47" s="86" t="s">
        <v>196</v>
      </c>
      <c r="X47" s="79"/>
      <c r="Y47" s="79"/>
      <c r="Z47" s="79"/>
      <c r="AA47" s="87"/>
      <c r="AK47" s="94">
        <v>1</v>
      </c>
      <c r="AL47" s="95">
        <v>0</v>
      </c>
    </row>
    <row r="48" spans="9:38" x14ac:dyDescent="0.3">
      <c r="I48" s="74"/>
      <c r="J48" s="17"/>
      <c r="K48" s="17"/>
      <c r="L48" s="17" t="s">
        <v>197</v>
      </c>
      <c r="M48" s="75"/>
      <c r="W48" s="86" t="s">
        <v>125</v>
      </c>
      <c r="X48" s="79">
        <f>Y7/AG9</f>
        <v>9.236947791164658</v>
      </c>
      <c r="Y48" s="79"/>
      <c r="Z48" s="79" t="s">
        <v>168</v>
      </c>
      <c r="AA48" s="87"/>
      <c r="AK48" s="94">
        <v>2</v>
      </c>
      <c r="AL48" s="95">
        <f>AK7*AT9</f>
        <v>3063.0893999999998</v>
      </c>
    </row>
    <row r="49" spans="9:38" x14ac:dyDescent="0.3">
      <c r="I49" s="74" t="s">
        <v>193</v>
      </c>
      <c r="J49" s="17"/>
      <c r="K49" s="17"/>
      <c r="L49" s="17"/>
      <c r="M49" s="75"/>
      <c r="W49" s="86" t="s">
        <v>130</v>
      </c>
      <c r="X49" s="79">
        <f>(Y7+W7*AH9)/(AG9+AH9)</f>
        <v>10.474768972746331</v>
      </c>
      <c r="Y49" s="79"/>
      <c r="Z49" s="79"/>
      <c r="AA49" s="87"/>
      <c r="AK49" s="94"/>
      <c r="AL49" s="95"/>
    </row>
    <row r="50" spans="9:38" x14ac:dyDescent="0.3">
      <c r="I50" s="74"/>
      <c r="J50" s="17"/>
      <c r="K50" s="17"/>
      <c r="L50" s="17"/>
      <c r="M50" s="75"/>
      <c r="W50" s="88"/>
      <c r="X50" s="89"/>
      <c r="Y50" s="89"/>
      <c r="Z50" s="89"/>
      <c r="AA50" s="90"/>
      <c r="AK50" s="94" t="s">
        <v>193</v>
      </c>
      <c r="AL50" s="95"/>
    </row>
    <row r="51" spans="9:38" x14ac:dyDescent="0.3">
      <c r="I51" s="74" t="s">
        <v>82</v>
      </c>
      <c r="J51" s="17">
        <v>2300</v>
      </c>
      <c r="K51" s="17"/>
      <c r="L51" s="17" t="s">
        <v>168</v>
      </c>
      <c r="M51" s="75"/>
      <c r="AK51" s="94" t="s">
        <v>166</v>
      </c>
      <c r="AL51" s="95"/>
    </row>
    <row r="52" spans="9:38" x14ac:dyDescent="0.3">
      <c r="I52" s="74" t="s">
        <v>85</v>
      </c>
      <c r="J52" s="17">
        <f>(J51+D17*S9)/2</f>
        <v>2622.4117000000001</v>
      </c>
      <c r="K52" s="17"/>
      <c r="L52" s="17" t="s">
        <v>198</v>
      </c>
      <c r="M52" s="75"/>
      <c r="AK52" s="94">
        <v>1</v>
      </c>
      <c r="AL52" s="95">
        <v>0</v>
      </c>
    </row>
    <row r="53" spans="9:38" x14ac:dyDescent="0.3">
      <c r="I53" s="74"/>
      <c r="J53" s="17"/>
      <c r="K53" s="17"/>
      <c r="L53" s="17"/>
      <c r="M53" s="75"/>
      <c r="AK53" s="94">
        <v>2</v>
      </c>
      <c r="AL53" s="95">
        <f>AK7*AU9</f>
        <v>2944.8233999999998</v>
      </c>
    </row>
    <row r="54" spans="9:38" x14ac:dyDescent="0.3">
      <c r="I54" s="74" t="s">
        <v>196</v>
      </c>
      <c r="J54" s="17"/>
      <c r="K54" s="17"/>
      <c r="L54" s="17" t="s">
        <v>199</v>
      </c>
      <c r="M54" s="75"/>
      <c r="AK54" s="94"/>
      <c r="AL54" s="95"/>
    </row>
    <row r="55" spans="9:38" x14ac:dyDescent="0.3">
      <c r="I55" s="74"/>
      <c r="J55" s="17"/>
      <c r="K55" s="17"/>
      <c r="L55" s="17"/>
      <c r="M55" s="75"/>
      <c r="AK55" s="94" t="s">
        <v>196</v>
      </c>
      <c r="AL55" s="95"/>
    </row>
    <row r="56" spans="9:38" x14ac:dyDescent="0.3">
      <c r="I56" s="74" t="s">
        <v>191</v>
      </c>
      <c r="J56" s="17">
        <v>2300</v>
      </c>
      <c r="K56" s="17"/>
      <c r="L56" s="17"/>
      <c r="M56" s="75"/>
      <c r="AK56" s="94" t="s">
        <v>166</v>
      </c>
      <c r="AL56" s="95"/>
    </row>
    <row r="57" spans="9:38" x14ac:dyDescent="0.3">
      <c r="I57" s="76" t="s">
        <v>200</v>
      </c>
      <c r="J57" s="77">
        <f>(J56+D17*T9)/2</f>
        <v>2498.2323999999999</v>
      </c>
      <c r="K57" s="77"/>
      <c r="L57" s="77"/>
      <c r="M57" s="78"/>
      <c r="AK57" s="94">
        <v>1</v>
      </c>
      <c r="AL57" s="95">
        <v>0</v>
      </c>
    </row>
    <row r="58" spans="9:38" x14ac:dyDescent="0.3">
      <c r="AK58" s="96">
        <v>2</v>
      </c>
      <c r="AL58" s="97">
        <f>AK7*AV9</f>
        <v>2696.4647999999997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42E1-1741-44C2-8F0D-27B26A30DA23}">
  <dimension ref="A1:AU54"/>
  <sheetViews>
    <sheetView topLeftCell="C1" zoomScale="71" workbookViewId="0">
      <selection activeCell="G13" sqref="G13"/>
    </sheetView>
  </sheetViews>
  <sheetFormatPr defaultColWidth="8.77734375" defaultRowHeight="14.4" x14ac:dyDescent="0.3"/>
  <cols>
    <col min="1" max="2" width="8.77734375" bestFit="1" customWidth="1"/>
    <col min="6" max="6" width="10.44140625" bestFit="1" customWidth="1"/>
    <col min="7" max="7" width="19.77734375" bestFit="1" customWidth="1"/>
    <col min="8" max="8" width="12.44140625" customWidth="1"/>
    <col min="9" max="9" width="8.77734375" bestFit="1" customWidth="1"/>
    <col min="10" max="10" width="11.6640625" customWidth="1"/>
    <col min="14" max="14" width="16.109375" bestFit="1" customWidth="1"/>
    <col min="17" max="17" width="11.77734375" customWidth="1"/>
    <col min="18" max="18" width="9.44140625" customWidth="1"/>
    <col min="19" max="19" width="11.33203125" customWidth="1"/>
    <col min="21" max="21" width="13.44140625" bestFit="1" customWidth="1"/>
    <col min="26" max="26" width="12" customWidth="1"/>
    <col min="31" max="31" width="12.33203125" bestFit="1" customWidth="1"/>
    <col min="35" max="35" width="19.77734375" bestFit="1" customWidth="1"/>
    <col min="36" max="36" width="13.109375" customWidth="1"/>
    <col min="39" max="39" width="9.44140625" customWidth="1"/>
    <col min="42" max="42" width="12.33203125" bestFit="1" customWidth="1"/>
  </cols>
  <sheetData>
    <row r="1" spans="1:47" x14ac:dyDescent="0.3">
      <c r="A1" s="7" t="s">
        <v>201</v>
      </c>
      <c r="B1" s="8" t="s">
        <v>1</v>
      </c>
      <c r="C1" s="8" t="s">
        <v>2</v>
      </c>
      <c r="G1" s="120" t="s">
        <v>26</v>
      </c>
      <c r="H1" s="120" t="s">
        <v>27</v>
      </c>
      <c r="I1" s="212" t="s">
        <v>5</v>
      </c>
      <c r="J1" s="212" t="s">
        <v>7</v>
      </c>
      <c r="K1" s="212" t="s">
        <v>9</v>
      </c>
      <c r="L1" s="212" t="s">
        <v>11</v>
      </c>
      <c r="M1" s="212" t="s">
        <v>13</v>
      </c>
      <c r="N1" s="212" t="s">
        <v>15</v>
      </c>
      <c r="O1" s="212" t="s">
        <v>17</v>
      </c>
      <c r="P1" s="212" t="s">
        <v>19</v>
      </c>
      <c r="Q1" s="212" t="s">
        <v>21</v>
      </c>
      <c r="R1" s="212" t="s">
        <v>23</v>
      </c>
      <c r="S1" s="212" t="s">
        <v>28</v>
      </c>
    </row>
    <row r="2" spans="1:47" x14ac:dyDescent="0.3">
      <c r="A2" s="11" t="s">
        <v>5</v>
      </c>
      <c r="B2" s="12">
        <v>91</v>
      </c>
      <c r="C2" s="12">
        <v>117</v>
      </c>
      <c r="G2" s="120" t="s">
        <v>32</v>
      </c>
      <c r="H2" s="121"/>
      <c r="I2" s="213">
        <v>117</v>
      </c>
      <c r="J2" s="213">
        <v>109</v>
      </c>
      <c r="K2" s="213">
        <v>96</v>
      </c>
      <c r="L2" s="213">
        <v>86</v>
      </c>
      <c r="M2" s="213">
        <v>71</v>
      </c>
      <c r="N2" s="213">
        <v>58</v>
      </c>
      <c r="O2" s="213">
        <v>46</v>
      </c>
      <c r="P2" s="213">
        <v>44</v>
      </c>
      <c r="Q2" s="213">
        <v>38</v>
      </c>
      <c r="R2" s="213">
        <v>49</v>
      </c>
      <c r="S2" s="213">
        <v>55</v>
      </c>
      <c r="U2" s="114" t="s">
        <v>29</v>
      </c>
      <c r="V2" s="114">
        <f>6*2300</f>
        <v>13800</v>
      </c>
    </row>
    <row r="3" spans="1:47" x14ac:dyDescent="0.3">
      <c r="A3" s="11" t="s">
        <v>7</v>
      </c>
      <c r="B3" s="12">
        <v>64</v>
      </c>
      <c r="C3" s="12">
        <v>109</v>
      </c>
      <c r="G3" s="120" t="s">
        <v>35</v>
      </c>
      <c r="H3" s="213">
        <v>117</v>
      </c>
      <c r="I3" s="213">
        <v>109</v>
      </c>
      <c r="J3" s="213">
        <v>96</v>
      </c>
      <c r="K3" s="213">
        <v>86</v>
      </c>
      <c r="L3" s="213">
        <v>71</v>
      </c>
      <c r="M3" s="213">
        <v>58</v>
      </c>
      <c r="N3" s="213">
        <v>46</v>
      </c>
      <c r="O3" s="213">
        <v>44</v>
      </c>
      <c r="P3" s="213">
        <v>38</v>
      </c>
      <c r="Q3" s="213">
        <v>49</v>
      </c>
      <c r="R3" s="213">
        <v>55</v>
      </c>
      <c r="S3" s="121"/>
      <c r="U3" s="114" t="s">
        <v>33</v>
      </c>
      <c r="V3" s="114">
        <f>SUM(I6:S6)*D16</f>
        <v>12659.775000000001</v>
      </c>
    </row>
    <row r="4" spans="1:47" x14ac:dyDescent="0.3">
      <c r="A4" s="11" t="s">
        <v>9</v>
      </c>
      <c r="B4" s="12">
        <v>64</v>
      </c>
      <c r="C4" s="12">
        <v>96</v>
      </c>
      <c r="G4" s="120" t="s">
        <v>40</v>
      </c>
      <c r="H4" s="121">
        <v>151</v>
      </c>
      <c r="I4" s="121">
        <v>151</v>
      </c>
      <c r="J4" s="121">
        <v>151</v>
      </c>
      <c r="K4" s="121">
        <v>0</v>
      </c>
      <c r="L4" s="121">
        <v>151</v>
      </c>
      <c r="M4" s="121">
        <v>0</v>
      </c>
      <c r="N4" s="121">
        <v>0</v>
      </c>
      <c r="O4" s="121">
        <v>151</v>
      </c>
      <c r="P4" s="121">
        <v>0</v>
      </c>
      <c r="Q4" s="121">
        <v>0</v>
      </c>
      <c r="R4" s="121">
        <v>151</v>
      </c>
      <c r="S4" s="121"/>
      <c r="U4" s="114" t="s">
        <v>36</v>
      </c>
      <c r="V4" s="114">
        <f>V2+V3</f>
        <v>26459.775000000001</v>
      </c>
    </row>
    <row r="5" spans="1:47" x14ac:dyDescent="0.3">
      <c r="A5" s="11" t="s">
        <v>11</v>
      </c>
      <c r="B5" s="12">
        <v>36</v>
      </c>
      <c r="C5" s="12">
        <v>86</v>
      </c>
      <c r="G5" s="120" t="s">
        <v>43</v>
      </c>
      <c r="H5" s="121"/>
      <c r="I5" s="121">
        <v>151</v>
      </c>
      <c r="J5" s="121">
        <v>151</v>
      </c>
      <c r="K5" s="121">
        <v>151</v>
      </c>
      <c r="L5" s="121">
        <v>0</v>
      </c>
      <c r="M5" s="121">
        <v>151</v>
      </c>
      <c r="N5" s="121">
        <v>0</v>
      </c>
      <c r="O5" s="121">
        <v>0</v>
      </c>
      <c r="P5" s="121">
        <v>151</v>
      </c>
      <c r="Q5" s="121">
        <v>0</v>
      </c>
      <c r="R5" s="121">
        <v>0</v>
      </c>
      <c r="S5" s="121">
        <v>151</v>
      </c>
    </row>
    <row r="6" spans="1:47" x14ac:dyDescent="0.3">
      <c r="A6" s="11" t="s">
        <v>13</v>
      </c>
      <c r="B6" s="12">
        <v>26</v>
      </c>
      <c r="C6" s="12">
        <v>71</v>
      </c>
      <c r="G6" s="120" t="s">
        <v>45</v>
      </c>
      <c r="H6" s="121"/>
      <c r="I6" s="121">
        <f>H4-I2</f>
        <v>34</v>
      </c>
      <c r="J6" s="121">
        <f>I4+I6-J2</f>
        <v>76</v>
      </c>
      <c r="K6" s="121">
        <f>J4+J6-K2</f>
        <v>131</v>
      </c>
      <c r="L6" s="121">
        <f>K4+K6-L2</f>
        <v>45</v>
      </c>
      <c r="M6" s="121">
        <f t="shared" ref="M6" si="0">L4+L6-M2</f>
        <v>125</v>
      </c>
      <c r="N6" s="121">
        <f t="shared" ref="N6:S6" si="1">M4+M6-N2</f>
        <v>67</v>
      </c>
      <c r="O6" s="121">
        <f t="shared" si="1"/>
        <v>21</v>
      </c>
      <c r="P6" s="121">
        <f t="shared" si="1"/>
        <v>128</v>
      </c>
      <c r="Q6" s="121">
        <f t="shared" si="1"/>
        <v>90</v>
      </c>
      <c r="R6" s="121">
        <f t="shared" si="1"/>
        <v>41</v>
      </c>
      <c r="S6" s="121">
        <f t="shared" si="1"/>
        <v>137</v>
      </c>
      <c r="W6" s="67" t="s">
        <v>202</v>
      </c>
      <c r="X6" s="2">
        <v>14.145</v>
      </c>
      <c r="Y6" s="67" t="s">
        <v>203</v>
      </c>
      <c r="Z6" s="2">
        <v>2300</v>
      </c>
      <c r="AK6" s="67" t="s">
        <v>202</v>
      </c>
      <c r="AL6" s="2">
        <v>14.145</v>
      </c>
      <c r="AM6" s="67" t="s">
        <v>203</v>
      </c>
      <c r="AN6" s="2">
        <v>2300</v>
      </c>
    </row>
    <row r="7" spans="1:47" x14ac:dyDescent="0.3">
      <c r="A7" s="11" t="s">
        <v>15</v>
      </c>
      <c r="B7" s="12">
        <v>20</v>
      </c>
      <c r="C7" s="12">
        <v>58</v>
      </c>
    </row>
    <row r="8" spans="1:47" x14ac:dyDescent="0.3">
      <c r="A8" s="11" t="s">
        <v>17</v>
      </c>
      <c r="B8" s="12">
        <v>40</v>
      </c>
      <c r="C8" s="12">
        <v>46</v>
      </c>
      <c r="G8" s="68" t="s">
        <v>162</v>
      </c>
      <c r="H8" s="69" t="s">
        <v>163</v>
      </c>
      <c r="I8" s="19">
        <v>117</v>
      </c>
      <c r="J8" s="19">
        <v>109</v>
      </c>
      <c r="K8" s="19">
        <v>96</v>
      </c>
      <c r="L8" s="19">
        <v>86</v>
      </c>
      <c r="M8" s="19">
        <v>71</v>
      </c>
      <c r="N8" s="19">
        <v>58</v>
      </c>
      <c r="O8" s="19">
        <v>46</v>
      </c>
      <c r="P8" s="19">
        <v>44</v>
      </c>
      <c r="Q8" s="19">
        <v>38</v>
      </c>
      <c r="R8" s="19">
        <v>49</v>
      </c>
      <c r="S8" s="19">
        <v>55</v>
      </c>
      <c r="T8" s="61"/>
      <c r="U8" s="81" t="s">
        <v>96</v>
      </c>
      <c r="V8" s="82" t="s">
        <v>163</v>
      </c>
      <c r="W8" s="80">
        <v>117</v>
      </c>
      <c r="X8" s="80">
        <v>109</v>
      </c>
      <c r="Y8" s="80">
        <v>96</v>
      </c>
      <c r="Z8" s="80">
        <v>86</v>
      </c>
      <c r="AA8" s="80">
        <v>71</v>
      </c>
      <c r="AB8" s="80">
        <v>58</v>
      </c>
      <c r="AC8" s="80">
        <v>46</v>
      </c>
      <c r="AD8" s="80">
        <v>44</v>
      </c>
      <c r="AE8" s="80">
        <v>38</v>
      </c>
      <c r="AF8" s="80">
        <v>49</v>
      </c>
      <c r="AG8" s="80">
        <v>55</v>
      </c>
      <c r="AI8" s="47" t="s">
        <v>164</v>
      </c>
      <c r="AJ8" s="98" t="s">
        <v>163</v>
      </c>
      <c r="AK8" s="99">
        <v>117</v>
      </c>
      <c r="AL8" s="49">
        <v>109</v>
      </c>
      <c r="AM8" s="49">
        <v>96</v>
      </c>
      <c r="AN8" s="49">
        <v>86</v>
      </c>
      <c r="AO8" s="49">
        <v>71</v>
      </c>
      <c r="AP8" s="49">
        <v>58</v>
      </c>
      <c r="AQ8" s="49">
        <v>46</v>
      </c>
      <c r="AR8" s="49">
        <v>44</v>
      </c>
      <c r="AS8" s="49">
        <v>38</v>
      </c>
      <c r="AT8" s="49">
        <v>49</v>
      </c>
      <c r="AU8" s="49">
        <v>55</v>
      </c>
    </row>
    <row r="9" spans="1:47" x14ac:dyDescent="0.3">
      <c r="A9" s="11" t="s">
        <v>19</v>
      </c>
      <c r="B9" s="12">
        <v>22</v>
      </c>
      <c r="C9" s="12">
        <v>44</v>
      </c>
      <c r="H9" s="71" t="s">
        <v>165</v>
      </c>
      <c r="I9" s="72"/>
      <c r="J9" s="72"/>
      <c r="K9" s="72"/>
      <c r="L9" s="73"/>
      <c r="V9" s="83" t="s">
        <v>165</v>
      </c>
      <c r="W9" s="84"/>
      <c r="X9" s="84"/>
      <c r="Y9" s="84"/>
      <c r="Z9" s="85"/>
      <c r="AJ9" s="92" t="s">
        <v>165</v>
      </c>
      <c r="AK9" s="93"/>
    </row>
    <row r="10" spans="1:47" x14ac:dyDescent="0.3">
      <c r="A10" s="11" t="s">
        <v>21</v>
      </c>
      <c r="B10" s="12">
        <v>74</v>
      </c>
      <c r="C10" s="12">
        <v>38</v>
      </c>
      <c r="H10" s="74" t="s">
        <v>191</v>
      </c>
      <c r="I10" s="17">
        <v>2300</v>
      </c>
      <c r="J10" s="17"/>
      <c r="K10" s="17"/>
      <c r="L10" s="75"/>
      <c r="M10" s="71" t="s">
        <v>126</v>
      </c>
      <c r="N10" s="72" t="s">
        <v>204</v>
      </c>
      <c r="O10" s="72"/>
      <c r="P10" s="73">
        <f>SUM(I8:K8)</f>
        <v>322</v>
      </c>
      <c r="V10" s="86" t="s">
        <v>125</v>
      </c>
      <c r="W10" s="79">
        <f>Z6/W8</f>
        <v>19.658119658119659</v>
      </c>
      <c r="X10" s="79"/>
      <c r="Y10" s="79"/>
      <c r="Z10" s="87"/>
      <c r="AA10" s="83" t="s">
        <v>126</v>
      </c>
      <c r="AB10" s="84" t="s">
        <v>205</v>
      </c>
      <c r="AC10" s="85">
        <f>SUM(W8:X8)</f>
        <v>226</v>
      </c>
      <c r="AJ10" s="94" t="s">
        <v>166</v>
      </c>
      <c r="AK10" s="95" t="s">
        <v>206</v>
      </c>
      <c r="AL10" s="92" t="s">
        <v>126</v>
      </c>
      <c r="AM10" s="156" t="s">
        <v>205</v>
      </c>
      <c r="AN10" s="93">
        <f>SUM(AK8:AL8)</f>
        <v>226</v>
      </c>
    </row>
    <row r="11" spans="1:47" x14ac:dyDescent="0.3">
      <c r="A11" s="11" t="s">
        <v>23</v>
      </c>
      <c r="B11" s="12">
        <v>70</v>
      </c>
      <c r="C11" s="12">
        <v>49</v>
      </c>
      <c r="H11" s="74" t="s">
        <v>200</v>
      </c>
      <c r="I11" s="17">
        <f>(I10+D16*J8)/2</f>
        <v>1920.9025000000001</v>
      </c>
      <c r="J11" s="17"/>
      <c r="K11" s="17"/>
      <c r="L11" s="75"/>
      <c r="M11" s="74" t="s">
        <v>173</v>
      </c>
      <c r="N11" s="17" t="s">
        <v>207</v>
      </c>
      <c r="O11" s="17"/>
      <c r="P11" s="75">
        <f>SUM(L8:Q8)</f>
        <v>343</v>
      </c>
      <c r="V11" s="86" t="s">
        <v>130</v>
      </c>
      <c r="W11" s="79">
        <f>(Z6+X6*X8)/(W8+X8)</f>
        <v>16.999137168141594</v>
      </c>
      <c r="X11" s="79"/>
      <c r="Y11" s="79"/>
      <c r="Z11" s="87"/>
      <c r="AA11" s="86" t="s">
        <v>170</v>
      </c>
      <c r="AB11" s="79" t="s">
        <v>208</v>
      </c>
      <c r="AC11" s="87">
        <f>SUM(Y8:Z8)</f>
        <v>182</v>
      </c>
      <c r="AJ11" s="94">
        <v>1</v>
      </c>
      <c r="AK11" s="95">
        <v>0</v>
      </c>
      <c r="AL11" s="94" t="s">
        <v>170</v>
      </c>
      <c r="AM11" s="50" t="s">
        <v>209</v>
      </c>
      <c r="AN11" s="95">
        <f>SUM(AM8:AO8)</f>
        <v>253</v>
      </c>
    </row>
    <row r="12" spans="1:47" x14ac:dyDescent="0.3">
      <c r="A12" s="11" t="s">
        <v>28</v>
      </c>
      <c r="B12" s="12">
        <v>24</v>
      </c>
      <c r="C12" s="12">
        <v>55</v>
      </c>
      <c r="H12" s="74" t="s">
        <v>210</v>
      </c>
      <c r="I12" s="17">
        <f>(I10+D16*J8+2*D16*K8)/3</f>
        <v>2185.8816666666667</v>
      </c>
      <c r="J12" s="17"/>
      <c r="K12" s="17"/>
      <c r="L12" s="75"/>
      <c r="M12" s="76" t="s">
        <v>179</v>
      </c>
      <c r="N12" s="77" t="s">
        <v>211</v>
      </c>
      <c r="O12" s="77"/>
      <c r="P12" s="78">
        <f>SUM(R8:S8)</f>
        <v>104</v>
      </c>
      <c r="V12" s="86" t="s">
        <v>132</v>
      </c>
      <c r="W12" s="79">
        <f>(Z6+X6*X8+2*X6*Y8)/(W8+X8+Y8)</f>
        <v>20.365357142857142</v>
      </c>
      <c r="X12" s="79"/>
      <c r="Y12" s="79" t="s">
        <v>212</v>
      </c>
      <c r="Z12" s="87"/>
      <c r="AA12" s="86" t="s">
        <v>174</v>
      </c>
      <c r="AB12" s="79" t="s">
        <v>213</v>
      </c>
      <c r="AC12" s="87">
        <f>SUM(AA8:AB8)</f>
        <v>129</v>
      </c>
      <c r="AJ12" s="94">
        <v>2</v>
      </c>
      <c r="AK12" s="95">
        <f>AL6*AL8</f>
        <v>1541.8050000000001</v>
      </c>
      <c r="AL12" s="94" t="s">
        <v>153</v>
      </c>
      <c r="AM12" s="50" t="s">
        <v>214</v>
      </c>
      <c r="AN12" s="95">
        <f>SUM(AP8:AR8)</f>
        <v>148</v>
      </c>
    </row>
    <row r="13" spans="1:47" x14ac:dyDescent="0.3">
      <c r="B13" t="s">
        <v>72</v>
      </c>
      <c r="C13" s="1">
        <f>AVERAGE(C2:C12)</f>
        <v>69.909090909090907</v>
      </c>
      <c r="H13" s="74" t="s">
        <v>215</v>
      </c>
      <c r="I13" s="17">
        <f>(I10+D16*J8+2*D16*K8+3*D16*L8)/4</f>
        <v>2551.7637500000001</v>
      </c>
      <c r="J13" s="17"/>
      <c r="K13" s="17" t="s">
        <v>216</v>
      </c>
      <c r="L13" s="75"/>
      <c r="M13" s="61"/>
      <c r="V13" s="86"/>
      <c r="W13" s="79"/>
      <c r="X13" s="79"/>
      <c r="Y13" s="79"/>
      <c r="Z13" s="87"/>
      <c r="AA13" s="86" t="s">
        <v>151</v>
      </c>
      <c r="AB13" s="79" t="s">
        <v>217</v>
      </c>
      <c r="AC13" s="87">
        <f>SUM(AC8:AE8)</f>
        <v>128</v>
      </c>
      <c r="AJ13" s="94">
        <v>3</v>
      </c>
      <c r="AK13" s="95">
        <f>AK12+(2*AL6*AM8)</f>
        <v>4257.6450000000004</v>
      </c>
      <c r="AL13" s="94" t="s">
        <v>178</v>
      </c>
      <c r="AM13" s="50" t="s">
        <v>218</v>
      </c>
      <c r="AN13" s="95">
        <f>SUM(AS8:AU8)</f>
        <v>142</v>
      </c>
    </row>
    <row r="14" spans="1:47" x14ac:dyDescent="0.3">
      <c r="A14" s="116" t="s">
        <v>203</v>
      </c>
      <c r="B14" s="117">
        <v>2300</v>
      </c>
      <c r="C14" s="118"/>
      <c r="D14" s="118"/>
      <c r="H14" s="74"/>
      <c r="I14" s="17"/>
      <c r="J14" s="17"/>
      <c r="K14" s="17"/>
      <c r="L14" s="75"/>
      <c r="M14" s="152"/>
      <c r="N14" s="106" t="s">
        <v>127</v>
      </c>
      <c r="O14" s="106" t="s">
        <v>128</v>
      </c>
      <c r="Q14" s="17" t="s">
        <v>29</v>
      </c>
      <c r="R14" s="17">
        <f>3*2300</f>
        <v>6900</v>
      </c>
      <c r="V14" s="86" t="s">
        <v>176</v>
      </c>
      <c r="W14" s="79"/>
      <c r="X14" s="79"/>
      <c r="Y14" s="79"/>
      <c r="Z14" s="87"/>
      <c r="AA14" s="88" t="s">
        <v>179</v>
      </c>
      <c r="AB14" s="89" t="s">
        <v>211</v>
      </c>
      <c r="AC14" s="90">
        <f>SUM(AF8:AG8)</f>
        <v>104</v>
      </c>
      <c r="AJ14" s="94"/>
      <c r="AK14" s="95"/>
      <c r="AL14" s="96"/>
      <c r="AM14" s="157"/>
      <c r="AN14" s="97"/>
    </row>
    <row r="15" spans="1:47" x14ac:dyDescent="0.3">
      <c r="A15" s="119" t="s">
        <v>3</v>
      </c>
      <c r="B15" s="117">
        <v>0.46</v>
      </c>
      <c r="C15" s="118" t="s">
        <v>4</v>
      </c>
      <c r="D15" s="118">
        <v>30.75</v>
      </c>
      <c r="H15" s="74" t="s">
        <v>181</v>
      </c>
      <c r="I15" s="17"/>
      <c r="J15" s="17"/>
      <c r="K15" s="17"/>
      <c r="L15" s="75"/>
      <c r="M15" s="214" t="s">
        <v>5</v>
      </c>
      <c r="N15" s="18">
        <v>322</v>
      </c>
      <c r="O15" s="18">
        <f>N15-I8</f>
        <v>205</v>
      </c>
      <c r="Q15" s="17" t="s">
        <v>219</v>
      </c>
      <c r="R15" s="17">
        <f>SUM(O15:O25)*D16</f>
        <v>14809.815000000001</v>
      </c>
      <c r="V15" s="86" t="s">
        <v>125</v>
      </c>
      <c r="W15" s="79">
        <f>Z6/Y8</f>
        <v>23.958333333333332</v>
      </c>
      <c r="X15" s="79"/>
      <c r="Y15" s="79"/>
      <c r="Z15" s="87"/>
      <c r="AJ15" s="94" t="s">
        <v>176</v>
      </c>
      <c r="AK15" s="95"/>
    </row>
    <row r="16" spans="1:47" x14ac:dyDescent="0.3">
      <c r="C16" t="s">
        <v>6</v>
      </c>
      <c r="D16">
        <f>B15*D15</f>
        <v>14.145000000000001</v>
      </c>
      <c r="H16" s="74"/>
      <c r="I16" s="17"/>
      <c r="J16" s="17"/>
      <c r="K16" s="17"/>
      <c r="L16" s="75"/>
      <c r="M16" s="214" t="s">
        <v>7</v>
      </c>
      <c r="N16" s="18"/>
      <c r="O16" s="18">
        <f>O15-J8</f>
        <v>96</v>
      </c>
      <c r="Q16" s="17" t="s">
        <v>36</v>
      </c>
      <c r="R16" s="17">
        <f>R14+R15</f>
        <v>21709.815000000002</v>
      </c>
      <c r="V16" s="86" t="s">
        <v>130</v>
      </c>
      <c r="W16" s="79">
        <f>(Z6+X6*Z8)/(Y8+Z8)</f>
        <v>19.321263736263738</v>
      </c>
      <c r="X16" s="79"/>
      <c r="Y16" s="79"/>
      <c r="Z16" s="87"/>
      <c r="AA16" s="153"/>
      <c r="AB16" s="154" t="s">
        <v>127</v>
      </c>
      <c r="AC16" s="154" t="s">
        <v>128</v>
      </c>
      <c r="AE16" s="79" t="s">
        <v>29</v>
      </c>
      <c r="AF16" s="79">
        <f>5*Z6</f>
        <v>11500</v>
      </c>
      <c r="AJ16" s="94" t="s">
        <v>166</v>
      </c>
      <c r="AK16" s="95"/>
      <c r="AL16" s="155"/>
      <c r="AM16" s="46" t="s">
        <v>127</v>
      </c>
      <c r="AN16" s="46" t="s">
        <v>128</v>
      </c>
      <c r="AP16" s="50" t="s">
        <v>29</v>
      </c>
      <c r="AQ16" s="50">
        <f>4*AN6</f>
        <v>9200</v>
      </c>
    </row>
    <row r="17" spans="2:43" x14ac:dyDescent="0.3">
      <c r="H17" s="74" t="s">
        <v>191</v>
      </c>
      <c r="I17" s="17">
        <v>2300</v>
      </c>
      <c r="J17" s="17"/>
      <c r="K17" s="17"/>
      <c r="L17" s="75"/>
      <c r="M17" s="214" t="s">
        <v>9</v>
      </c>
      <c r="N17" s="18"/>
      <c r="O17" s="18">
        <f>O16-K8</f>
        <v>0</v>
      </c>
      <c r="V17" s="86" t="s">
        <v>132</v>
      </c>
      <c r="W17" s="79">
        <f>(Z6+X6*Z8+2*X6*AA8)/(Y8+Z8+AA8)</f>
        <v>21.83818181818182</v>
      </c>
      <c r="X17" s="79"/>
      <c r="Y17" s="79" t="s">
        <v>212</v>
      </c>
      <c r="Z17" s="87"/>
      <c r="AA17" s="215" t="s">
        <v>5</v>
      </c>
      <c r="AB17" s="81">
        <v>226</v>
      </c>
      <c r="AC17" s="81">
        <f>AB17-W8</f>
        <v>109</v>
      </c>
      <c r="AE17" s="79" t="s">
        <v>33</v>
      </c>
      <c r="AF17" s="79">
        <f>SUM(AC17:AC27)*X6</f>
        <v>6054.0599999999995</v>
      </c>
      <c r="AJ17" s="94">
        <v>1</v>
      </c>
      <c r="AK17" s="95">
        <v>0</v>
      </c>
      <c r="AL17" s="216" t="s">
        <v>5</v>
      </c>
      <c r="AM17" s="47">
        <v>226</v>
      </c>
      <c r="AN17" s="47">
        <f>AM17-AK8</f>
        <v>109</v>
      </c>
      <c r="AP17" s="50" t="s">
        <v>33</v>
      </c>
      <c r="AQ17" s="50">
        <f>SUM(AN17:AN27)*AL6</f>
        <v>8911.35</v>
      </c>
    </row>
    <row r="18" spans="2:43" x14ac:dyDescent="0.3">
      <c r="B18" t="s">
        <v>38</v>
      </c>
      <c r="C18" s="16">
        <f>SQRT(2*C13*B14/D16)</f>
        <v>150.78018341371475</v>
      </c>
      <c r="H18" s="74" t="s">
        <v>200</v>
      </c>
      <c r="I18" s="17">
        <f>(I10+D16*M8)/2</f>
        <v>1652.1475</v>
      </c>
      <c r="J18" s="17"/>
      <c r="K18" s="17"/>
      <c r="L18" s="75"/>
      <c r="M18" s="214" t="s">
        <v>11</v>
      </c>
      <c r="N18" s="18">
        <v>343</v>
      </c>
      <c r="O18" s="18">
        <f>N18-L8</f>
        <v>257</v>
      </c>
      <c r="V18" s="86"/>
      <c r="W18" s="79"/>
      <c r="X18" s="79"/>
      <c r="Y18" s="79"/>
      <c r="Z18" s="87"/>
      <c r="AA18" s="215" t="s">
        <v>7</v>
      </c>
      <c r="AB18" s="81"/>
      <c r="AC18" s="81">
        <f>AC17-X8</f>
        <v>0</v>
      </c>
      <c r="AE18" s="79" t="s">
        <v>36</v>
      </c>
      <c r="AF18" s="79">
        <f>AF16+AF17</f>
        <v>17554.059999999998</v>
      </c>
      <c r="AJ18" s="94">
        <v>2</v>
      </c>
      <c r="AK18" s="95">
        <f>AL6*AN8</f>
        <v>1216.47</v>
      </c>
      <c r="AL18" s="216" t="s">
        <v>7</v>
      </c>
      <c r="AM18" s="47"/>
      <c r="AN18" s="47">
        <f>AN17-AL8</f>
        <v>0</v>
      </c>
      <c r="AP18" s="50" t="s">
        <v>36</v>
      </c>
      <c r="AQ18" s="50">
        <f>AQ16+AQ17</f>
        <v>18111.349999999999</v>
      </c>
    </row>
    <row r="19" spans="2:43" x14ac:dyDescent="0.3">
      <c r="H19" s="74" t="s">
        <v>210</v>
      </c>
      <c r="I19" s="17">
        <f>(I10+D16*M8+2*D16*N8)/3</f>
        <v>1648.3716666666667</v>
      </c>
      <c r="J19" s="17"/>
      <c r="K19" s="17"/>
      <c r="L19" s="75"/>
      <c r="M19" s="214" t="s">
        <v>13</v>
      </c>
      <c r="N19" s="18"/>
      <c r="O19" s="18">
        <f>O18-M8</f>
        <v>186</v>
      </c>
      <c r="V19" s="86" t="s">
        <v>183</v>
      </c>
      <c r="W19" s="79"/>
      <c r="X19" s="79"/>
      <c r="Y19" s="79"/>
      <c r="Z19" s="87"/>
      <c r="AA19" s="215" t="s">
        <v>9</v>
      </c>
      <c r="AB19" s="81">
        <v>182</v>
      </c>
      <c r="AC19" s="81">
        <f>AB19-Y8</f>
        <v>86</v>
      </c>
      <c r="AJ19" s="94">
        <v>3</v>
      </c>
      <c r="AK19" s="95">
        <f>AK18+(2*AL6*AO8)</f>
        <v>3225.06</v>
      </c>
      <c r="AL19" s="216" t="s">
        <v>9</v>
      </c>
      <c r="AM19" s="47">
        <v>253</v>
      </c>
      <c r="AN19" s="47">
        <f>AM19-AM8</f>
        <v>157</v>
      </c>
    </row>
    <row r="20" spans="2:43" x14ac:dyDescent="0.3">
      <c r="H20" s="74" t="s">
        <v>215</v>
      </c>
      <c r="I20" s="17">
        <f>(I10+D16*M8+2*D16*N8+3*D16*O8)/4</f>
        <v>1724.28125</v>
      </c>
      <c r="J20" s="17"/>
      <c r="K20" s="17"/>
      <c r="L20" s="75"/>
      <c r="M20" s="214" t="s">
        <v>15</v>
      </c>
      <c r="N20" s="18"/>
      <c r="O20" s="18">
        <f>O19-N8</f>
        <v>128</v>
      </c>
      <c r="V20" s="86" t="s">
        <v>125</v>
      </c>
      <c r="W20" s="79">
        <f>Z6/AA8</f>
        <v>32.394366197183096</v>
      </c>
      <c r="X20" s="79"/>
      <c r="Y20" s="79"/>
      <c r="Z20" s="87"/>
      <c r="AA20" s="215" t="s">
        <v>11</v>
      </c>
      <c r="AB20" s="81"/>
      <c r="AC20" s="81">
        <f>AC19-Z8</f>
        <v>0</v>
      </c>
      <c r="AJ20" s="94"/>
      <c r="AK20" s="95"/>
      <c r="AL20" s="216" t="s">
        <v>11</v>
      </c>
      <c r="AM20" s="47"/>
      <c r="AN20" s="47">
        <f>AN19-AN8</f>
        <v>71</v>
      </c>
    </row>
    <row r="21" spans="2:43" x14ac:dyDescent="0.3">
      <c r="H21" s="74" t="s">
        <v>220</v>
      </c>
      <c r="I21" s="17">
        <f>(I17+D16*M8+2*D16*N8+3*D16*O8+4*D16*P8)/5</f>
        <v>1877.3290000000002</v>
      </c>
      <c r="J21" s="17"/>
      <c r="K21" s="17"/>
      <c r="L21" s="75"/>
      <c r="M21" s="214" t="s">
        <v>17</v>
      </c>
      <c r="N21" s="18"/>
      <c r="O21" s="18">
        <f>O20-O8</f>
        <v>82</v>
      </c>
      <c r="V21" s="86" t="s">
        <v>130</v>
      </c>
      <c r="W21" s="79">
        <f>(Z6+X6*AB8)/(AA8+AB8)</f>
        <v>24.189224806201548</v>
      </c>
      <c r="X21" s="79"/>
      <c r="Y21" s="79"/>
      <c r="Z21" s="87"/>
      <c r="AA21" s="215" t="s">
        <v>13</v>
      </c>
      <c r="AB21" s="81">
        <v>129</v>
      </c>
      <c r="AC21" s="81">
        <f>AB21-AA8</f>
        <v>58</v>
      </c>
      <c r="AJ21" s="94" t="s">
        <v>185</v>
      </c>
      <c r="AK21" s="95"/>
      <c r="AL21" s="216" t="s">
        <v>13</v>
      </c>
      <c r="AM21" s="47"/>
      <c r="AN21" s="47">
        <f>AN20-AO8</f>
        <v>0</v>
      </c>
    </row>
    <row r="22" spans="2:43" x14ac:dyDescent="0.3">
      <c r="H22" s="74" t="s">
        <v>221</v>
      </c>
      <c r="I22" s="17">
        <f>(I17+D16*M8+2*D16*N8+3*D16*O8+4*D16*P8+5*D16*Q8)/6</f>
        <v>2012.3658333333333</v>
      </c>
      <c r="J22" s="17"/>
      <c r="K22" s="17"/>
      <c r="L22" s="75"/>
      <c r="M22" s="214" t="s">
        <v>19</v>
      </c>
      <c r="N22" s="18"/>
      <c r="O22" s="18">
        <f>O21-P8</f>
        <v>38</v>
      </c>
      <c r="V22" s="86" t="s">
        <v>132</v>
      </c>
      <c r="W22" s="79">
        <f>(Z6+X6*AB8+2*X6*AC8)/(AA8+AB8+AC8)</f>
        <v>25.267142857142858</v>
      </c>
      <c r="X22" s="79"/>
      <c r="Y22" s="79" t="s">
        <v>212</v>
      </c>
      <c r="Z22" s="87"/>
      <c r="AA22" s="215" t="s">
        <v>15</v>
      </c>
      <c r="AB22" s="81"/>
      <c r="AC22" s="81">
        <f>AC21-AB8</f>
        <v>0</v>
      </c>
      <c r="AJ22" s="94" t="s">
        <v>166</v>
      </c>
      <c r="AK22" s="95"/>
      <c r="AL22" s="216" t="s">
        <v>15</v>
      </c>
      <c r="AM22" s="47">
        <v>148</v>
      </c>
      <c r="AN22" s="47">
        <f>AM22-AP8</f>
        <v>90</v>
      </c>
    </row>
    <row r="23" spans="2:43" x14ac:dyDescent="0.3">
      <c r="H23" s="74" t="s">
        <v>222</v>
      </c>
      <c r="I23" s="17">
        <f>(I17+D16*M8+2*D16*N8+3*D16*O8+4*D16*P8+5*D16*Q8+6*D16*R8)/7</f>
        <v>2318.9749999999999</v>
      </c>
      <c r="J23" s="17"/>
      <c r="K23" s="17" t="s">
        <v>223</v>
      </c>
      <c r="L23" s="75"/>
      <c r="M23" s="214" t="s">
        <v>21</v>
      </c>
      <c r="N23" s="18"/>
      <c r="O23" s="18">
        <f>O22-Q8</f>
        <v>0</v>
      </c>
      <c r="V23" s="86"/>
      <c r="W23" s="79"/>
      <c r="X23" s="79"/>
      <c r="Y23" s="79"/>
      <c r="Z23" s="87"/>
      <c r="AA23" s="215" t="s">
        <v>17</v>
      </c>
      <c r="AB23" s="81">
        <v>128</v>
      </c>
      <c r="AC23" s="81">
        <f>AB23-AC8</f>
        <v>82</v>
      </c>
      <c r="AJ23" s="94">
        <v>1</v>
      </c>
      <c r="AK23" s="95">
        <v>0</v>
      </c>
      <c r="AL23" s="216" t="s">
        <v>17</v>
      </c>
      <c r="AM23" s="47"/>
      <c r="AN23" s="47">
        <f>AN22-AQ8</f>
        <v>44</v>
      </c>
    </row>
    <row r="24" spans="2:43" x14ac:dyDescent="0.3">
      <c r="H24" s="74"/>
      <c r="I24" s="17"/>
      <c r="J24" s="17"/>
      <c r="K24" s="17"/>
      <c r="L24" s="75"/>
      <c r="M24" s="214" t="s">
        <v>23</v>
      </c>
      <c r="N24" s="18">
        <v>104</v>
      </c>
      <c r="O24" s="18">
        <f>N24-R8</f>
        <v>55</v>
      </c>
      <c r="V24" s="86" t="s">
        <v>188</v>
      </c>
      <c r="W24" s="79"/>
      <c r="X24" s="79"/>
      <c r="Y24" s="79"/>
      <c r="Z24" s="87"/>
      <c r="AA24" s="215" t="s">
        <v>19</v>
      </c>
      <c r="AB24" s="81"/>
      <c r="AC24" s="81">
        <f>AC23-AD8</f>
        <v>38</v>
      </c>
      <c r="AJ24" s="94">
        <v>2</v>
      </c>
      <c r="AK24" s="95">
        <f>AL6*AQ8</f>
        <v>650.66999999999996</v>
      </c>
      <c r="AL24" s="216" t="s">
        <v>19</v>
      </c>
      <c r="AM24" s="47"/>
      <c r="AN24" s="47">
        <f>AN23-AR8</f>
        <v>0</v>
      </c>
    </row>
    <row r="25" spans="2:43" x14ac:dyDescent="0.3">
      <c r="H25" s="74" t="s">
        <v>196</v>
      </c>
      <c r="I25" s="17"/>
      <c r="J25" s="17"/>
      <c r="K25" s="17"/>
      <c r="L25" s="75"/>
      <c r="M25" s="214" t="s">
        <v>28</v>
      </c>
      <c r="N25" s="18"/>
      <c r="O25" s="18">
        <f>O24-S8</f>
        <v>0</v>
      </c>
      <c r="V25" s="86" t="s">
        <v>125</v>
      </c>
      <c r="W25" s="79">
        <f>Z6/AC8</f>
        <v>50</v>
      </c>
      <c r="X25" s="79"/>
      <c r="Y25" s="79"/>
      <c r="Z25" s="87"/>
      <c r="AA25" s="215" t="s">
        <v>21</v>
      </c>
      <c r="AB25" s="81"/>
      <c r="AC25" s="81">
        <f>AC24-AE8</f>
        <v>0</v>
      </c>
      <c r="AJ25" s="94">
        <v>3</v>
      </c>
      <c r="AK25" s="95">
        <f>AK24+2*AL6*AR8</f>
        <v>1895.4299999999998</v>
      </c>
      <c r="AL25" s="216" t="s">
        <v>21</v>
      </c>
      <c r="AM25" s="47">
        <v>142</v>
      </c>
      <c r="AN25" s="47">
        <f>AM25-AS8</f>
        <v>104</v>
      </c>
    </row>
    <row r="26" spans="2:43" x14ac:dyDescent="0.3">
      <c r="H26" s="74"/>
      <c r="I26" s="17"/>
      <c r="J26" s="17"/>
      <c r="K26" s="17"/>
      <c r="L26" s="75"/>
      <c r="V26" s="86" t="s">
        <v>130</v>
      </c>
      <c r="W26" s="79">
        <f>(Z6+X6*AD8)/(AC8+AD8)</f>
        <v>32.470888888888894</v>
      </c>
      <c r="X26" s="79"/>
      <c r="Y26" s="79"/>
      <c r="Z26" s="87"/>
      <c r="AA26" s="215" t="s">
        <v>23</v>
      </c>
      <c r="AB26" s="81">
        <v>104</v>
      </c>
      <c r="AC26" s="81">
        <f>AB26-AF8</f>
        <v>55</v>
      </c>
      <c r="AJ26" s="94">
        <v>4</v>
      </c>
      <c r="AK26" s="95">
        <f>AK25+3*AL6*AS8</f>
        <v>3507.96</v>
      </c>
      <c r="AL26" s="216" t="s">
        <v>23</v>
      </c>
      <c r="AM26" s="47"/>
      <c r="AN26" s="47">
        <f>AN25-AT8</f>
        <v>55</v>
      </c>
    </row>
    <row r="27" spans="2:43" x14ac:dyDescent="0.3">
      <c r="H27" s="74" t="s">
        <v>191</v>
      </c>
      <c r="I27" s="17">
        <v>2300</v>
      </c>
      <c r="J27" s="17"/>
      <c r="K27" s="17"/>
      <c r="L27" s="75"/>
      <c r="V27" s="86" t="s">
        <v>132</v>
      </c>
      <c r="W27" s="79">
        <f>(Z6+X6*AD8+2*X6*AE8)/(AC8+AD8+AE8)</f>
        <v>31.229687500000001</v>
      </c>
      <c r="X27" s="79"/>
      <c r="Y27" s="79"/>
      <c r="Z27" s="87"/>
      <c r="AA27" s="215" t="s">
        <v>28</v>
      </c>
      <c r="AB27" s="81"/>
      <c r="AC27" s="81">
        <f>AC26-AG8</f>
        <v>0</v>
      </c>
      <c r="AJ27" s="94"/>
      <c r="AK27" s="95"/>
      <c r="AL27" s="216" t="s">
        <v>28</v>
      </c>
      <c r="AM27" s="47"/>
      <c r="AN27" s="47">
        <f>AN26-AU8</f>
        <v>0</v>
      </c>
    </row>
    <row r="28" spans="2:43" x14ac:dyDescent="0.3">
      <c r="H28" s="76" t="s">
        <v>200</v>
      </c>
      <c r="I28" s="77">
        <f>(I17+D16*S8)/2</f>
        <v>1538.9875</v>
      </c>
      <c r="J28" s="77"/>
      <c r="K28" s="77"/>
      <c r="L28" s="78"/>
      <c r="V28" s="86" t="s">
        <v>134</v>
      </c>
      <c r="W28" s="79">
        <f>(Z6+X6*AD8+2*X6*AE8+3*X6*AF8)/(AC8+AD8+AE8+AF8)</f>
        <v>34.331723163841808</v>
      </c>
      <c r="X28" s="79"/>
      <c r="Y28" s="79" t="s">
        <v>224</v>
      </c>
      <c r="Z28" s="87"/>
      <c r="AJ28" s="94" t="s">
        <v>193</v>
      </c>
      <c r="AK28" s="95"/>
    </row>
    <row r="29" spans="2:43" x14ac:dyDescent="0.3">
      <c r="V29" s="86"/>
      <c r="W29" s="79"/>
      <c r="X29" s="79"/>
      <c r="Y29" s="79"/>
      <c r="Z29" s="87"/>
      <c r="AJ29" s="94" t="s">
        <v>195</v>
      </c>
      <c r="AK29" s="95"/>
    </row>
    <row r="30" spans="2:43" x14ac:dyDescent="0.3">
      <c r="V30" s="86" t="s">
        <v>196</v>
      </c>
      <c r="W30" s="79"/>
      <c r="X30" s="79"/>
      <c r="Y30" s="79"/>
      <c r="Z30" s="87"/>
      <c r="AJ30" s="94">
        <v>1</v>
      </c>
      <c r="AK30" s="95">
        <v>0</v>
      </c>
    </row>
    <row r="31" spans="2:43" x14ac:dyDescent="0.3">
      <c r="V31" s="86" t="s">
        <v>125</v>
      </c>
      <c r="W31" s="79">
        <f>Z6/AF8</f>
        <v>46.938775510204081</v>
      </c>
      <c r="X31" s="79"/>
      <c r="Y31" s="79"/>
      <c r="Z31" s="87"/>
      <c r="AJ31" s="94">
        <v>2</v>
      </c>
      <c r="AK31" s="95">
        <f>AL6*AT8</f>
        <v>693.10500000000002</v>
      </c>
    </row>
    <row r="32" spans="2:43" x14ac:dyDescent="0.3">
      <c r="V32" s="88" t="s">
        <v>130</v>
      </c>
      <c r="W32" s="89">
        <f>(Z6+X6*AG8)/(AF8+AG8)</f>
        <v>29.595913461538462</v>
      </c>
      <c r="X32" s="89"/>
      <c r="Y32" s="89"/>
      <c r="Z32" s="90"/>
      <c r="AJ32" s="94">
        <v>3</v>
      </c>
      <c r="AK32" s="95">
        <f>AK31+AL6*AU8</f>
        <v>1471.08</v>
      </c>
    </row>
    <row r="33" spans="36:37" x14ac:dyDescent="0.3">
      <c r="AJ33" s="94"/>
      <c r="AK33" s="95"/>
    </row>
    <row r="34" spans="36:37" x14ac:dyDescent="0.3">
      <c r="AJ34" s="94"/>
      <c r="AK34" s="95"/>
    </row>
    <row r="35" spans="36:37" x14ac:dyDescent="0.3">
      <c r="AJ35" s="94"/>
      <c r="AK35" s="95"/>
    </row>
    <row r="36" spans="36:37" x14ac:dyDescent="0.3">
      <c r="AJ36" s="96"/>
      <c r="AK36" s="97"/>
    </row>
    <row r="54" spans="14:14" x14ac:dyDescent="0.3">
      <c r="N54" s="115"/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913E-BA38-444B-8A8A-435B843FEAF4}">
  <dimension ref="A1:AU34"/>
  <sheetViews>
    <sheetView topLeftCell="Q1" zoomScale="92" zoomScaleNormal="140" workbookViewId="0">
      <selection activeCell="AR15" sqref="AR15:AR17"/>
    </sheetView>
  </sheetViews>
  <sheetFormatPr defaultColWidth="8.77734375" defaultRowHeight="14.4" x14ac:dyDescent="0.3"/>
  <cols>
    <col min="1" max="1" width="11.77734375" bestFit="1" customWidth="1"/>
    <col min="2" max="2" width="12.6640625" customWidth="1"/>
    <col min="7" max="7" width="19.77734375" bestFit="1" customWidth="1"/>
    <col min="8" max="8" width="12.77734375" customWidth="1"/>
    <col min="9" max="9" width="10.109375" customWidth="1"/>
    <col min="10" max="10" width="11.33203125" customWidth="1"/>
    <col min="11" max="11" width="10.109375" bestFit="1" customWidth="1"/>
    <col min="12" max="12" width="11.77734375" bestFit="1" customWidth="1"/>
    <col min="13" max="13" width="16.33203125" customWidth="1"/>
    <col min="14" max="14" width="12.109375" customWidth="1"/>
    <col min="16" max="16" width="12.77734375" bestFit="1" customWidth="1"/>
    <col min="17" max="17" width="13.6640625" customWidth="1"/>
    <col min="18" max="18" width="10.6640625" customWidth="1"/>
    <col min="19" max="19" width="12.77734375" customWidth="1"/>
    <col min="21" max="21" width="13.33203125" bestFit="1" customWidth="1"/>
    <col min="22" max="22" width="9.6640625" customWidth="1"/>
    <col min="26" max="26" width="9.77734375" customWidth="1"/>
    <col min="27" max="27" width="16.33203125" customWidth="1"/>
    <col min="28" max="28" width="12.109375" customWidth="1"/>
    <col min="30" max="30" width="11.6640625" bestFit="1" customWidth="1"/>
    <col min="31" max="31" width="9.6640625" customWidth="1"/>
    <col min="35" max="35" width="19.6640625" bestFit="1" customWidth="1"/>
    <col min="38" max="38" width="9.6640625" customWidth="1"/>
    <col min="39" max="39" width="15.44140625" customWidth="1"/>
    <col min="40" max="40" width="11.33203125" customWidth="1"/>
    <col min="42" max="42" width="12.109375" bestFit="1" customWidth="1"/>
    <col min="43" max="43" width="9.6640625" customWidth="1"/>
  </cols>
  <sheetData>
    <row r="1" spans="1:47" x14ac:dyDescent="0.3">
      <c r="A1" s="217" t="s">
        <v>225</v>
      </c>
      <c r="B1" s="218" t="s">
        <v>1</v>
      </c>
      <c r="C1" s="218" t="s">
        <v>2</v>
      </c>
      <c r="G1" s="570" t="s">
        <v>26</v>
      </c>
      <c r="H1" s="571" t="s">
        <v>27</v>
      </c>
      <c r="I1" s="572" t="s">
        <v>5</v>
      </c>
      <c r="J1" s="572" t="s">
        <v>7</v>
      </c>
      <c r="K1" s="572" t="s">
        <v>9</v>
      </c>
      <c r="L1" s="572" t="s">
        <v>11</v>
      </c>
      <c r="M1" s="572" t="s">
        <v>13</v>
      </c>
      <c r="N1" s="572" t="s">
        <v>15</v>
      </c>
      <c r="O1" s="572" t="s">
        <v>17</v>
      </c>
      <c r="P1" s="572" t="s">
        <v>19</v>
      </c>
      <c r="Q1" s="572" t="s">
        <v>21</v>
      </c>
      <c r="R1" s="572" t="s">
        <v>23</v>
      </c>
      <c r="S1" s="573" t="s">
        <v>28</v>
      </c>
    </row>
    <row r="2" spans="1:47" x14ac:dyDescent="0.3">
      <c r="A2" s="219" t="s">
        <v>5</v>
      </c>
      <c r="B2" s="220">
        <v>45</v>
      </c>
      <c r="C2" s="220">
        <v>60</v>
      </c>
      <c r="G2" s="574" t="s">
        <v>32</v>
      </c>
      <c r="H2" s="121"/>
      <c r="I2" s="575">
        <v>60</v>
      </c>
      <c r="J2" s="575">
        <v>59</v>
      </c>
      <c r="K2" s="575">
        <v>60</v>
      </c>
      <c r="L2" s="575">
        <v>63</v>
      </c>
      <c r="M2" s="575">
        <v>67</v>
      </c>
      <c r="N2" s="575">
        <v>69</v>
      </c>
      <c r="O2" s="575">
        <v>68</v>
      </c>
      <c r="P2" s="575">
        <v>72</v>
      </c>
      <c r="Q2" s="575">
        <v>69</v>
      </c>
      <c r="R2" s="575">
        <v>68</v>
      </c>
      <c r="S2" s="576">
        <v>66</v>
      </c>
      <c r="U2" s="581" t="s">
        <v>226</v>
      </c>
      <c r="V2" s="582" t="s">
        <v>227</v>
      </c>
    </row>
    <row r="3" spans="1:47" x14ac:dyDescent="0.3">
      <c r="A3" s="219" t="s">
        <v>7</v>
      </c>
      <c r="B3" s="220">
        <v>86</v>
      </c>
      <c r="C3" s="220">
        <v>59</v>
      </c>
      <c r="G3" s="574" t="s">
        <v>35</v>
      </c>
      <c r="H3" s="575">
        <v>60</v>
      </c>
      <c r="I3" s="575">
        <v>59</v>
      </c>
      <c r="J3" s="575">
        <v>60</v>
      </c>
      <c r="K3" s="575">
        <v>63</v>
      </c>
      <c r="L3" s="575">
        <v>67</v>
      </c>
      <c r="M3" s="575">
        <v>69</v>
      </c>
      <c r="N3" s="575">
        <v>68</v>
      </c>
      <c r="O3" s="575">
        <v>72</v>
      </c>
      <c r="P3" s="575">
        <v>69</v>
      </c>
      <c r="Q3" s="575">
        <v>68</v>
      </c>
      <c r="R3" s="575">
        <v>66</v>
      </c>
      <c r="S3" s="577"/>
      <c r="U3" s="583" t="s">
        <v>74</v>
      </c>
      <c r="V3" s="577">
        <f>5*2300</f>
        <v>11500</v>
      </c>
    </row>
    <row r="4" spans="1:47" x14ac:dyDescent="0.3">
      <c r="A4" s="219" t="s">
        <v>9</v>
      </c>
      <c r="B4" s="220">
        <v>61</v>
      </c>
      <c r="C4" s="220">
        <v>60</v>
      </c>
      <c r="G4" s="574" t="s">
        <v>40</v>
      </c>
      <c r="H4" s="121">
        <v>171</v>
      </c>
      <c r="I4" s="121">
        <v>0</v>
      </c>
      <c r="J4" s="121">
        <v>171</v>
      </c>
      <c r="K4" s="121">
        <v>0</v>
      </c>
      <c r="L4" s="121">
        <v>0</v>
      </c>
      <c r="M4" s="121">
        <v>171</v>
      </c>
      <c r="N4" s="121">
        <v>0</v>
      </c>
      <c r="O4" s="121">
        <v>171</v>
      </c>
      <c r="P4" s="121">
        <v>0</v>
      </c>
      <c r="Q4" s="121">
        <v>0</v>
      </c>
      <c r="R4" s="121">
        <v>171</v>
      </c>
      <c r="S4" s="577"/>
      <c r="U4" s="583" t="s">
        <v>75</v>
      </c>
      <c r="V4" s="577">
        <f>SUM(I6:S6)*D16</f>
        <v>11250.449999999999</v>
      </c>
    </row>
    <row r="5" spans="1:47" x14ac:dyDescent="0.3">
      <c r="A5" s="219" t="s">
        <v>11</v>
      </c>
      <c r="B5" s="220">
        <v>80</v>
      </c>
      <c r="C5" s="220">
        <v>63</v>
      </c>
      <c r="G5" s="574" t="s">
        <v>43</v>
      </c>
      <c r="H5" s="121"/>
      <c r="I5" s="121">
        <v>171</v>
      </c>
      <c r="J5" s="121">
        <v>0</v>
      </c>
      <c r="K5" s="121">
        <v>171</v>
      </c>
      <c r="L5" s="121">
        <v>0</v>
      </c>
      <c r="M5" s="121">
        <v>0</v>
      </c>
      <c r="N5" s="121">
        <v>171</v>
      </c>
      <c r="O5" s="121">
        <v>0</v>
      </c>
      <c r="P5" s="121">
        <v>171</v>
      </c>
      <c r="Q5" s="121">
        <v>0</v>
      </c>
      <c r="R5" s="121">
        <v>0</v>
      </c>
      <c r="S5" s="577">
        <v>171</v>
      </c>
      <c r="U5" s="584" t="s">
        <v>76</v>
      </c>
      <c r="V5" s="580">
        <f>V3+V4</f>
        <v>22750.449999999997</v>
      </c>
    </row>
    <row r="6" spans="1:47" x14ac:dyDescent="0.3">
      <c r="A6" s="219" t="s">
        <v>13</v>
      </c>
      <c r="B6" s="220">
        <v>43</v>
      </c>
      <c r="C6" s="220">
        <v>67</v>
      </c>
      <c r="G6" s="578" t="s">
        <v>45</v>
      </c>
      <c r="H6" s="579"/>
      <c r="I6" s="579">
        <f>H4-I2</f>
        <v>111</v>
      </c>
      <c r="J6" s="579">
        <f>I4+I6-J2</f>
        <v>52</v>
      </c>
      <c r="K6" s="579">
        <f>J4+J6-K2</f>
        <v>163</v>
      </c>
      <c r="L6" s="579">
        <f>K4+K6-L2</f>
        <v>100</v>
      </c>
      <c r="M6" s="579">
        <f>L4+L6-M2</f>
        <v>33</v>
      </c>
      <c r="N6" s="579">
        <f>M4+M6-N2</f>
        <v>135</v>
      </c>
      <c r="O6" s="579">
        <f t="shared" ref="O6" si="0">N4+N6-O2</f>
        <v>67</v>
      </c>
      <c r="P6" s="579">
        <f>O4+O6-P2</f>
        <v>166</v>
      </c>
      <c r="Q6" s="579">
        <f>P4+P6-Q2</f>
        <v>97</v>
      </c>
      <c r="R6" s="579">
        <f>Q4+Q6-R2</f>
        <v>29</v>
      </c>
      <c r="S6" s="580">
        <f>R4+R6-S2</f>
        <v>134</v>
      </c>
      <c r="X6" s="67" t="s">
        <v>202</v>
      </c>
      <c r="Y6" s="2">
        <v>10.35</v>
      </c>
      <c r="Z6" s="67" t="s">
        <v>203</v>
      </c>
      <c r="AA6" s="2">
        <v>2300</v>
      </c>
      <c r="AL6" s="67" t="s">
        <v>202</v>
      </c>
      <c r="AM6" s="2">
        <v>10.35</v>
      </c>
      <c r="AN6" s="67" t="s">
        <v>203</v>
      </c>
      <c r="AO6" s="2">
        <v>2300</v>
      </c>
    </row>
    <row r="7" spans="1:47" x14ac:dyDescent="0.3">
      <c r="A7" s="219" t="s">
        <v>15</v>
      </c>
      <c r="B7" s="220">
        <v>17</v>
      </c>
      <c r="C7" s="220">
        <v>69</v>
      </c>
    </row>
    <row r="8" spans="1:47" x14ac:dyDescent="0.3">
      <c r="A8" s="219" t="s">
        <v>17</v>
      </c>
      <c r="B8" s="220">
        <v>114</v>
      </c>
      <c r="C8" s="220">
        <v>68</v>
      </c>
      <c r="G8" s="151" t="s">
        <v>162</v>
      </c>
      <c r="H8" s="158" t="s">
        <v>163</v>
      </c>
      <c r="I8" s="221">
        <v>60</v>
      </c>
      <c r="J8" s="221">
        <v>59</v>
      </c>
      <c r="K8" s="221">
        <v>60</v>
      </c>
      <c r="L8" s="221">
        <v>63</v>
      </c>
      <c r="M8" s="221">
        <v>67</v>
      </c>
      <c r="N8" s="221">
        <v>69</v>
      </c>
      <c r="O8" s="221">
        <v>68</v>
      </c>
      <c r="P8" s="221">
        <v>72</v>
      </c>
      <c r="Q8" s="221">
        <v>69</v>
      </c>
      <c r="R8" s="221">
        <v>68</v>
      </c>
      <c r="S8" s="221">
        <v>66</v>
      </c>
      <c r="U8" s="81" t="s">
        <v>96</v>
      </c>
      <c r="V8" s="82" t="s">
        <v>163</v>
      </c>
      <c r="W8" s="80">
        <v>60</v>
      </c>
      <c r="X8" s="80">
        <v>59</v>
      </c>
      <c r="Y8" s="80">
        <v>60</v>
      </c>
      <c r="Z8" s="80">
        <v>63</v>
      </c>
      <c r="AA8" s="80">
        <v>67</v>
      </c>
      <c r="AB8" s="80">
        <v>69</v>
      </c>
      <c r="AC8" s="80">
        <v>68</v>
      </c>
      <c r="AD8" s="80">
        <v>72</v>
      </c>
      <c r="AE8" s="80">
        <v>69</v>
      </c>
      <c r="AF8" s="80">
        <v>68</v>
      </c>
      <c r="AG8" s="80">
        <v>66</v>
      </c>
      <c r="AI8" s="47" t="s">
        <v>164</v>
      </c>
      <c r="AJ8" s="98" t="s">
        <v>163</v>
      </c>
      <c r="AK8" s="99">
        <v>60</v>
      </c>
      <c r="AL8" s="49">
        <v>59</v>
      </c>
      <c r="AM8" s="49">
        <v>60</v>
      </c>
      <c r="AN8" s="49">
        <v>63</v>
      </c>
      <c r="AO8" s="49">
        <v>67</v>
      </c>
      <c r="AP8" s="49">
        <v>69</v>
      </c>
      <c r="AQ8" s="49">
        <v>68</v>
      </c>
      <c r="AR8" s="49">
        <v>72</v>
      </c>
      <c r="AS8" s="49">
        <v>69</v>
      </c>
      <c r="AT8" s="49">
        <v>68</v>
      </c>
      <c r="AU8" s="49">
        <v>66</v>
      </c>
    </row>
    <row r="9" spans="1:47" x14ac:dyDescent="0.3">
      <c r="A9" s="219" t="s">
        <v>19</v>
      </c>
      <c r="B9" s="220">
        <v>21</v>
      </c>
      <c r="C9" s="220">
        <v>72</v>
      </c>
      <c r="H9" s="159" t="s">
        <v>228</v>
      </c>
      <c r="I9" s="160"/>
      <c r="J9" s="160"/>
      <c r="K9" s="161"/>
      <c r="V9" s="83" t="s">
        <v>165</v>
      </c>
      <c r="W9" s="84"/>
      <c r="X9" s="84"/>
      <c r="Y9" s="85"/>
      <c r="AJ9" s="92" t="s">
        <v>165</v>
      </c>
      <c r="AK9" s="93"/>
    </row>
    <row r="10" spans="1:47" x14ac:dyDescent="0.3">
      <c r="A10" s="219" t="s">
        <v>21</v>
      </c>
      <c r="B10" s="220">
        <v>42</v>
      </c>
      <c r="C10" s="220">
        <v>69</v>
      </c>
      <c r="F10" s="67" t="s">
        <v>42</v>
      </c>
      <c r="G10" s="2">
        <v>2300</v>
      </c>
      <c r="H10" s="162" t="s">
        <v>125</v>
      </c>
      <c r="I10" s="163">
        <v>2300</v>
      </c>
      <c r="J10" s="163"/>
      <c r="K10" s="164"/>
      <c r="L10" s="159" t="s">
        <v>126</v>
      </c>
      <c r="M10" s="160" t="s">
        <v>204</v>
      </c>
      <c r="N10" s="161">
        <f>SUM(I8:K8)</f>
        <v>179</v>
      </c>
      <c r="V10" s="86" t="s">
        <v>125</v>
      </c>
      <c r="W10" s="79">
        <f>AA6/W8</f>
        <v>38.333333333333336</v>
      </c>
      <c r="X10" s="79"/>
      <c r="Y10" s="87"/>
      <c r="Z10" s="83" t="s">
        <v>126</v>
      </c>
      <c r="AA10" s="84" t="s">
        <v>204</v>
      </c>
      <c r="AB10" s="85">
        <f>SUM(W8:Y8)</f>
        <v>179</v>
      </c>
      <c r="AJ10" s="94" t="s">
        <v>166</v>
      </c>
      <c r="AK10" s="50"/>
      <c r="AL10" s="92" t="s">
        <v>126</v>
      </c>
      <c r="AM10" s="156" t="s">
        <v>204</v>
      </c>
      <c r="AN10" s="93">
        <f>SUM(AK8:AM8)</f>
        <v>179</v>
      </c>
    </row>
    <row r="11" spans="1:47" x14ac:dyDescent="0.3">
      <c r="A11" s="219" t="s">
        <v>23</v>
      </c>
      <c r="B11" s="220">
        <v>51</v>
      </c>
      <c r="C11" s="220">
        <v>68</v>
      </c>
      <c r="F11" s="67" t="s">
        <v>6</v>
      </c>
      <c r="G11" s="2">
        <v>10.35</v>
      </c>
      <c r="H11" s="162" t="s">
        <v>130</v>
      </c>
      <c r="I11" s="163">
        <f>(I10+G11*J8)/2</f>
        <v>1455.325</v>
      </c>
      <c r="J11" s="163"/>
      <c r="K11" s="164"/>
      <c r="L11" s="162" t="s">
        <v>173</v>
      </c>
      <c r="M11" s="163" t="s">
        <v>229</v>
      </c>
      <c r="N11" s="164">
        <f>SUM(L8:N8)</f>
        <v>199</v>
      </c>
      <c r="V11" s="86" t="s">
        <v>130</v>
      </c>
      <c r="W11" s="79">
        <f>(AA6+Y6*X8)/(W8+X8)</f>
        <v>24.459243697478993</v>
      </c>
      <c r="X11" s="79"/>
      <c r="Y11" s="87"/>
      <c r="Z11" s="86" t="s">
        <v>173</v>
      </c>
      <c r="AA11" s="79" t="s">
        <v>229</v>
      </c>
      <c r="AB11" s="87">
        <f>SUM(Z8:AB8)</f>
        <v>199</v>
      </c>
      <c r="AJ11" s="94">
        <v>1</v>
      </c>
      <c r="AK11" s="50">
        <v>0</v>
      </c>
      <c r="AL11" s="94" t="s">
        <v>173</v>
      </c>
      <c r="AM11" s="50" t="s">
        <v>229</v>
      </c>
      <c r="AN11" s="95">
        <f>SUM(AN8:AP8)</f>
        <v>199</v>
      </c>
    </row>
    <row r="12" spans="1:47" x14ac:dyDescent="0.3">
      <c r="A12" s="219" t="s">
        <v>28</v>
      </c>
      <c r="B12" s="220">
        <v>35</v>
      </c>
      <c r="C12" s="220">
        <v>66</v>
      </c>
      <c r="H12" s="162" t="s">
        <v>132</v>
      </c>
      <c r="I12" s="163">
        <f>(I10+G11*J8+2*G11*K8)/3</f>
        <v>1384.2166666666665</v>
      </c>
      <c r="J12" s="163"/>
      <c r="K12" s="164"/>
      <c r="L12" s="162" t="s">
        <v>151</v>
      </c>
      <c r="M12" s="163" t="s">
        <v>217</v>
      </c>
      <c r="N12" s="164">
        <f>SUM(O8:Q8)</f>
        <v>209</v>
      </c>
      <c r="V12" s="86" t="s">
        <v>132</v>
      </c>
      <c r="W12" s="79">
        <f>(AA6+Y6*X8+2*Y6*Y8)/(W8+X8+Y8)</f>
        <v>23.199162011173183</v>
      </c>
      <c r="X12" s="79"/>
      <c r="Y12" s="87"/>
      <c r="Z12" s="86" t="s">
        <v>151</v>
      </c>
      <c r="AA12" s="79" t="s">
        <v>217</v>
      </c>
      <c r="AB12" s="87">
        <f>SUM(AC8:AE8)</f>
        <v>209</v>
      </c>
      <c r="AJ12" s="94">
        <v>2</v>
      </c>
      <c r="AK12" s="50">
        <f>AL8*AM6</f>
        <v>610.65</v>
      </c>
      <c r="AL12" s="94" t="s">
        <v>151</v>
      </c>
      <c r="AM12" s="50" t="s">
        <v>217</v>
      </c>
      <c r="AN12" s="95">
        <f>SUM(AQ8:AS8)</f>
        <v>209</v>
      </c>
    </row>
    <row r="13" spans="1:47" x14ac:dyDescent="0.3">
      <c r="B13" t="s">
        <v>72</v>
      </c>
      <c r="C13" s="1">
        <f>AVERAGE(C2:C12)</f>
        <v>65.545454545454547</v>
      </c>
      <c r="H13" s="162" t="s">
        <v>134</v>
      </c>
      <c r="I13" s="163">
        <f>(I10+G11*J8+2*G11*K8+3*G11*L8)/4</f>
        <v>1527.1999999999998</v>
      </c>
      <c r="J13" s="163"/>
      <c r="K13" s="164" t="s">
        <v>230</v>
      </c>
      <c r="L13" s="165" t="s">
        <v>179</v>
      </c>
      <c r="M13" s="166" t="s">
        <v>211</v>
      </c>
      <c r="N13" s="167">
        <f>SUM(R8:S8)</f>
        <v>134</v>
      </c>
      <c r="V13" s="86" t="s">
        <v>134</v>
      </c>
      <c r="W13" s="79">
        <f>(AA6+Y6*X8+2*Y6*Y8+3*Y6*Z8)/(W8+X8+Y8+Z8)</f>
        <v>25.242975206611568</v>
      </c>
      <c r="X13" s="79"/>
      <c r="Y13" s="87" t="s">
        <v>231</v>
      </c>
      <c r="Z13" s="88" t="s">
        <v>179</v>
      </c>
      <c r="AA13" s="89" t="s">
        <v>211</v>
      </c>
      <c r="AB13" s="90">
        <f>SUM(AF8:AG8)</f>
        <v>134</v>
      </c>
      <c r="AJ13" s="94">
        <v>3</v>
      </c>
      <c r="AK13" s="50">
        <f>AK12+2*AM6*AM8</f>
        <v>1852.65</v>
      </c>
      <c r="AL13" s="96" t="s">
        <v>179</v>
      </c>
      <c r="AM13" s="157" t="s">
        <v>211</v>
      </c>
      <c r="AN13" s="97">
        <f>SUM(AT8:AU8)</f>
        <v>134</v>
      </c>
    </row>
    <row r="14" spans="1:47" x14ac:dyDescent="0.3">
      <c r="A14" s="222" t="s">
        <v>203</v>
      </c>
      <c r="B14" s="223">
        <v>2300</v>
      </c>
      <c r="C14" s="38"/>
      <c r="D14" s="38"/>
      <c r="H14" s="162"/>
      <c r="I14" s="163"/>
      <c r="J14" s="163"/>
      <c r="K14" s="164"/>
      <c r="V14" s="86"/>
      <c r="W14" s="79"/>
      <c r="X14" s="79"/>
      <c r="Y14" s="87"/>
      <c r="AJ14" s="94">
        <v>4</v>
      </c>
      <c r="AK14" s="95">
        <f>AK13+3*AM6*AN8</f>
        <v>3808.8</v>
      </c>
    </row>
    <row r="15" spans="1:47" x14ac:dyDescent="0.3">
      <c r="A15" s="224" t="s">
        <v>3</v>
      </c>
      <c r="B15" s="223">
        <v>0.46</v>
      </c>
      <c r="C15" s="38" t="s">
        <v>4</v>
      </c>
      <c r="D15" s="38">
        <v>22.5</v>
      </c>
      <c r="H15" s="162" t="s">
        <v>181</v>
      </c>
      <c r="I15" s="163"/>
      <c r="J15" s="163"/>
      <c r="K15" s="163"/>
      <c r="L15" s="585" t="s">
        <v>232</v>
      </c>
      <c r="M15" s="586" t="s">
        <v>233</v>
      </c>
      <c r="N15" s="587" t="s">
        <v>81</v>
      </c>
      <c r="P15" s="594" t="s">
        <v>226</v>
      </c>
      <c r="Q15" s="595" t="s">
        <v>227</v>
      </c>
      <c r="V15" s="86" t="s">
        <v>181</v>
      </c>
      <c r="W15" s="79"/>
      <c r="X15" s="79"/>
      <c r="Y15" s="87"/>
      <c r="Z15" s="153" t="s">
        <v>232</v>
      </c>
      <c r="AA15" s="598" t="s">
        <v>234</v>
      </c>
      <c r="AB15" s="599" t="s">
        <v>128</v>
      </c>
      <c r="AD15" s="90" t="s">
        <v>226</v>
      </c>
      <c r="AE15" s="88" t="s">
        <v>227</v>
      </c>
      <c r="AJ15" s="94"/>
      <c r="AK15" s="50"/>
      <c r="AL15" s="97" t="s">
        <v>232</v>
      </c>
      <c r="AM15" s="604" t="s">
        <v>80</v>
      </c>
      <c r="AN15" s="96" t="s">
        <v>81</v>
      </c>
      <c r="AP15" s="97" t="s">
        <v>226</v>
      </c>
      <c r="AQ15" s="96" t="s">
        <v>227</v>
      </c>
    </row>
    <row r="16" spans="1:47" x14ac:dyDescent="0.3">
      <c r="A16" s="38"/>
      <c r="B16" s="38"/>
      <c r="C16" s="38" t="s">
        <v>6</v>
      </c>
      <c r="D16" s="38">
        <f>B15*D15</f>
        <v>10.35</v>
      </c>
      <c r="H16" s="162" t="s">
        <v>125</v>
      </c>
      <c r="I16" s="163">
        <v>2300</v>
      </c>
      <c r="J16" s="163"/>
      <c r="K16" s="163"/>
      <c r="L16" s="588" t="s">
        <v>5</v>
      </c>
      <c r="M16" s="589">
        <v>179</v>
      </c>
      <c r="N16" s="590">
        <f>M16-I8</f>
        <v>119</v>
      </c>
      <c r="P16" s="596" t="s">
        <v>74</v>
      </c>
      <c r="Q16" s="590">
        <f>4*G10</f>
        <v>9200</v>
      </c>
      <c r="V16" s="86" t="s">
        <v>125</v>
      </c>
      <c r="W16" s="79">
        <f>AA6/Z8</f>
        <v>36.507936507936506</v>
      </c>
      <c r="X16" s="79"/>
      <c r="Y16" s="87"/>
      <c r="Z16" s="600" t="s">
        <v>5</v>
      </c>
      <c r="AA16" s="81">
        <v>179</v>
      </c>
      <c r="AB16" s="601">
        <f>AA16-W8</f>
        <v>119</v>
      </c>
      <c r="AD16" s="91" t="s">
        <v>74</v>
      </c>
      <c r="AE16" s="601">
        <f>4*AA6</f>
        <v>9200</v>
      </c>
      <c r="AJ16" s="94" t="s">
        <v>181</v>
      </c>
      <c r="AK16" s="50"/>
      <c r="AL16" s="605" t="s">
        <v>5</v>
      </c>
      <c r="AM16" s="47">
        <v>179</v>
      </c>
      <c r="AN16" s="606">
        <v>119</v>
      </c>
      <c r="AP16" s="605" t="s">
        <v>74</v>
      </c>
      <c r="AQ16" s="606">
        <v>9200</v>
      </c>
    </row>
    <row r="17" spans="2:43" x14ac:dyDescent="0.3">
      <c r="H17" s="162" t="s">
        <v>130</v>
      </c>
      <c r="I17" s="163">
        <f>(I16+G11*M8)/2</f>
        <v>1496.7249999999999</v>
      </c>
      <c r="J17" s="163"/>
      <c r="K17" s="163"/>
      <c r="L17" s="588" t="s">
        <v>7</v>
      </c>
      <c r="M17" s="589"/>
      <c r="N17" s="590">
        <f>N16-J8</f>
        <v>60</v>
      </c>
      <c r="P17" s="596" t="s">
        <v>75</v>
      </c>
      <c r="Q17" s="590">
        <f>SUM(N16:N26)*G11</f>
        <v>6831</v>
      </c>
      <c r="V17" s="86" t="s">
        <v>130</v>
      </c>
      <c r="W17" s="79">
        <f>(AA6+Y6*AA8)/(Z8+AA8)</f>
        <v>23.026538461538461</v>
      </c>
      <c r="X17" s="79"/>
      <c r="Y17" s="87"/>
      <c r="Z17" s="600" t="s">
        <v>7</v>
      </c>
      <c r="AA17" s="81"/>
      <c r="AB17" s="601">
        <f>AB16-X8</f>
        <v>60</v>
      </c>
      <c r="AD17" s="91" t="s">
        <v>75</v>
      </c>
      <c r="AE17" s="601">
        <f>SUM(AB16:AB26)*Y6</f>
        <v>6831</v>
      </c>
      <c r="AJ17" s="94" t="s">
        <v>166</v>
      </c>
      <c r="AK17" s="50"/>
      <c r="AL17" s="605" t="s">
        <v>7</v>
      </c>
      <c r="AM17" s="47"/>
      <c r="AN17" s="606">
        <v>60</v>
      </c>
      <c r="AP17" s="605" t="s">
        <v>75</v>
      </c>
      <c r="AQ17" s="606">
        <v>6831</v>
      </c>
    </row>
    <row r="18" spans="2:43" x14ac:dyDescent="0.3">
      <c r="B18" t="s">
        <v>38</v>
      </c>
      <c r="C18" s="16">
        <f>SQRT(2*B14*C13/D16)</f>
        <v>170.67897682876216</v>
      </c>
      <c r="H18" s="162" t="s">
        <v>132</v>
      </c>
      <c r="I18" s="163">
        <f>(I16+G11*M8+2*G11*N8)/3</f>
        <v>1473.9166666666667</v>
      </c>
      <c r="J18" s="163"/>
      <c r="K18" s="163"/>
      <c r="L18" s="588" t="s">
        <v>9</v>
      </c>
      <c r="M18" s="589"/>
      <c r="N18" s="590">
        <f>N17-K8</f>
        <v>0</v>
      </c>
      <c r="P18" s="597" t="s">
        <v>76</v>
      </c>
      <c r="Q18" s="593">
        <f>Q16+Q17</f>
        <v>16031</v>
      </c>
      <c r="V18" s="86" t="s">
        <v>132</v>
      </c>
      <c r="W18" s="79">
        <f>(AA6+Y6*AA8+2*Y6*AB8)/(Z8+AA8+AB8)</f>
        <v>22.219849246231156</v>
      </c>
      <c r="X18" s="79"/>
      <c r="Y18" s="87"/>
      <c r="Z18" s="600" t="s">
        <v>9</v>
      </c>
      <c r="AA18" s="81"/>
      <c r="AB18" s="601">
        <f>AB17-Y8</f>
        <v>0</v>
      </c>
      <c r="AD18" s="85" t="s">
        <v>76</v>
      </c>
      <c r="AE18" s="83">
        <f>AE16+AE17</f>
        <v>16031</v>
      </c>
      <c r="AJ18" s="94">
        <v>1</v>
      </c>
      <c r="AK18" s="50">
        <v>0</v>
      </c>
      <c r="AL18" s="605" t="s">
        <v>9</v>
      </c>
      <c r="AM18" s="47"/>
      <c r="AN18" s="606">
        <v>0</v>
      </c>
      <c r="AP18" s="93" t="s">
        <v>76</v>
      </c>
      <c r="AQ18" s="92">
        <v>16031</v>
      </c>
    </row>
    <row r="19" spans="2:43" x14ac:dyDescent="0.3">
      <c r="H19" s="162" t="s">
        <v>134</v>
      </c>
      <c r="I19" s="163">
        <f>(I16+G11*M8+2*G11*N8+3*G11*O8)/4</f>
        <v>1633.2874999999999</v>
      </c>
      <c r="J19" s="163"/>
      <c r="K19" s="163" t="s">
        <v>224</v>
      </c>
      <c r="L19" s="588" t="s">
        <v>11</v>
      </c>
      <c r="M19" s="589">
        <v>199</v>
      </c>
      <c r="N19" s="590">
        <f>M19-L8</f>
        <v>136</v>
      </c>
      <c r="V19" s="86" t="s">
        <v>134</v>
      </c>
      <c r="W19" s="79">
        <f>(AA6+Y6*AA8+2*Y6*AB8+3*Y6*AC8)/(Z8+AA8+AB8+AC8)</f>
        <v>24.468726591760298</v>
      </c>
      <c r="X19" s="79"/>
      <c r="Y19" s="87" t="s">
        <v>231</v>
      </c>
      <c r="Z19" s="600" t="s">
        <v>11</v>
      </c>
      <c r="AA19" s="81">
        <v>199</v>
      </c>
      <c r="AB19" s="601">
        <f>AA19-Z8</f>
        <v>136</v>
      </c>
      <c r="AJ19" s="94">
        <v>2</v>
      </c>
      <c r="AK19" s="50">
        <f>AM6*AO8</f>
        <v>693.44999999999993</v>
      </c>
      <c r="AL19" s="605" t="s">
        <v>11</v>
      </c>
      <c r="AM19" s="47">
        <v>199</v>
      </c>
      <c r="AN19" s="606">
        <v>136</v>
      </c>
    </row>
    <row r="20" spans="2:43" x14ac:dyDescent="0.3">
      <c r="H20" s="162"/>
      <c r="I20" s="163"/>
      <c r="J20" s="163"/>
      <c r="K20" s="163"/>
      <c r="L20" s="588" t="s">
        <v>13</v>
      </c>
      <c r="M20" s="589"/>
      <c r="N20" s="590">
        <f>N19-M8</f>
        <v>69</v>
      </c>
      <c r="V20" s="86"/>
      <c r="W20" s="79"/>
      <c r="X20" s="79"/>
      <c r="Y20" s="87"/>
      <c r="Z20" s="600" t="s">
        <v>13</v>
      </c>
      <c r="AA20" s="81"/>
      <c r="AB20" s="601">
        <f>AB19-AA8</f>
        <v>69</v>
      </c>
      <c r="AJ20" s="94">
        <v>3</v>
      </c>
      <c r="AK20" s="50">
        <f>AK19+2*AM6*AP8</f>
        <v>2121.75</v>
      </c>
      <c r="AL20" s="605" t="s">
        <v>13</v>
      </c>
      <c r="AM20" s="47"/>
      <c r="AN20" s="606">
        <v>69</v>
      </c>
    </row>
    <row r="21" spans="2:43" x14ac:dyDescent="0.3">
      <c r="H21" s="162" t="s">
        <v>188</v>
      </c>
      <c r="I21" s="163"/>
      <c r="J21" s="163"/>
      <c r="K21" s="163"/>
      <c r="L21" s="588" t="s">
        <v>15</v>
      </c>
      <c r="M21" s="589"/>
      <c r="N21" s="590">
        <f>N20-N8</f>
        <v>0</v>
      </c>
      <c r="V21" s="86" t="s">
        <v>188</v>
      </c>
      <c r="W21" s="79"/>
      <c r="X21" s="79"/>
      <c r="Y21" s="87"/>
      <c r="Z21" s="600" t="s">
        <v>15</v>
      </c>
      <c r="AA21" s="81"/>
      <c r="AB21" s="601">
        <f>AB20-AB8</f>
        <v>0</v>
      </c>
      <c r="AJ21" s="94">
        <v>4</v>
      </c>
      <c r="AK21" s="50">
        <f>AK20+3*AM6*AQ8</f>
        <v>4233.1499999999996</v>
      </c>
      <c r="AL21" s="605" t="s">
        <v>15</v>
      </c>
      <c r="AM21" s="47"/>
      <c r="AN21" s="606">
        <v>0</v>
      </c>
    </row>
    <row r="22" spans="2:43" x14ac:dyDescent="0.3">
      <c r="H22" s="162" t="s">
        <v>125</v>
      </c>
      <c r="I22" s="163">
        <v>2300</v>
      </c>
      <c r="J22" s="163"/>
      <c r="K22" s="163"/>
      <c r="L22" s="588" t="s">
        <v>17</v>
      </c>
      <c r="M22" s="589">
        <v>209</v>
      </c>
      <c r="N22" s="590">
        <f>M22-O8</f>
        <v>141</v>
      </c>
      <c r="V22" s="86" t="s">
        <v>125</v>
      </c>
      <c r="W22" s="79">
        <f>AA6/AC8</f>
        <v>33.823529411764703</v>
      </c>
      <c r="X22" s="79"/>
      <c r="Y22" s="87"/>
      <c r="Z22" s="600" t="s">
        <v>17</v>
      </c>
      <c r="AA22" s="81">
        <v>209</v>
      </c>
      <c r="AB22" s="601">
        <f>AA22-AC8</f>
        <v>141</v>
      </c>
      <c r="AJ22" s="94"/>
      <c r="AK22" s="50"/>
      <c r="AL22" s="605" t="s">
        <v>17</v>
      </c>
      <c r="AM22" s="47">
        <v>209</v>
      </c>
      <c r="AN22" s="606">
        <v>141</v>
      </c>
    </row>
    <row r="23" spans="2:43" x14ac:dyDescent="0.3">
      <c r="H23" s="162" t="s">
        <v>130</v>
      </c>
      <c r="I23" s="163">
        <f>(I16+G11*P8)/2</f>
        <v>1522.6</v>
      </c>
      <c r="J23" s="163"/>
      <c r="K23" s="163"/>
      <c r="L23" s="588" t="s">
        <v>19</v>
      </c>
      <c r="M23" s="589"/>
      <c r="N23" s="590">
        <f>N22-P8</f>
        <v>69</v>
      </c>
      <c r="V23" s="86" t="s">
        <v>130</v>
      </c>
      <c r="W23" s="79">
        <f>(AA6+Y6*AD8)/(AC8+AD8)</f>
        <v>21.751428571428569</v>
      </c>
      <c r="X23" s="79"/>
      <c r="Y23" s="87"/>
      <c r="Z23" s="600" t="s">
        <v>19</v>
      </c>
      <c r="AA23" s="81"/>
      <c r="AB23" s="601">
        <f>AB22-AD8</f>
        <v>69</v>
      </c>
      <c r="AJ23" s="94" t="s">
        <v>188</v>
      </c>
      <c r="AK23" s="50"/>
      <c r="AL23" s="605" t="s">
        <v>19</v>
      </c>
      <c r="AM23" s="47"/>
      <c r="AN23" s="606">
        <v>69</v>
      </c>
    </row>
    <row r="24" spans="2:43" x14ac:dyDescent="0.3">
      <c r="H24" s="162" t="s">
        <v>132</v>
      </c>
      <c r="I24" s="163">
        <f>(I22+G11*P8+2*G11*Q8)/3</f>
        <v>1491.1666666666667</v>
      </c>
      <c r="J24" s="163"/>
      <c r="K24" s="163"/>
      <c r="L24" s="588" t="s">
        <v>21</v>
      </c>
      <c r="M24" s="589"/>
      <c r="N24" s="590">
        <f>N23-Q8</f>
        <v>0</v>
      </c>
      <c r="V24" s="86" t="s">
        <v>132</v>
      </c>
      <c r="W24" s="79">
        <f>(AA6+Y6*AD8+2*Y6*AE8)/(AC8+AD8+AE8)</f>
        <v>21.404306220095695</v>
      </c>
      <c r="X24" s="79"/>
      <c r="Y24" s="87"/>
      <c r="Z24" s="600" t="s">
        <v>21</v>
      </c>
      <c r="AA24" s="81"/>
      <c r="AB24" s="601">
        <f>AB23-AE8</f>
        <v>0</v>
      </c>
      <c r="AJ24" s="94" t="s">
        <v>166</v>
      </c>
      <c r="AK24" s="50"/>
      <c r="AL24" s="605" t="s">
        <v>21</v>
      </c>
      <c r="AM24" s="47"/>
      <c r="AN24" s="606">
        <v>0</v>
      </c>
    </row>
    <row r="25" spans="2:43" x14ac:dyDescent="0.3">
      <c r="H25" s="162" t="s">
        <v>134</v>
      </c>
      <c r="I25" s="163">
        <f>(I22+G11*P8+2*G11*Q8+3*G11*R8)/4</f>
        <v>1646.2249999999999</v>
      </c>
      <c r="J25" s="163"/>
      <c r="K25" s="163" t="s">
        <v>224</v>
      </c>
      <c r="L25" s="588" t="s">
        <v>23</v>
      </c>
      <c r="M25" s="589">
        <v>134</v>
      </c>
      <c r="N25" s="590">
        <f>M25-R8</f>
        <v>66</v>
      </c>
      <c r="V25" s="86" t="s">
        <v>134</v>
      </c>
      <c r="W25" s="79">
        <f>(AA6+Y6*AD8+2*Y6*AE8+3*Y6*AF8)/(AC8+AD8+AE8+AF8)</f>
        <v>23.772202166064982</v>
      </c>
      <c r="X25" s="79"/>
      <c r="Y25" s="87" t="s">
        <v>231</v>
      </c>
      <c r="Z25" s="600" t="s">
        <v>23</v>
      </c>
      <c r="AA25" s="81">
        <v>134</v>
      </c>
      <c r="AB25" s="601">
        <f>AA25-AF8</f>
        <v>66</v>
      </c>
      <c r="AJ25" s="94">
        <v>1</v>
      </c>
      <c r="AK25" s="50">
        <v>0</v>
      </c>
      <c r="AL25" s="605" t="s">
        <v>23</v>
      </c>
      <c r="AM25" s="47">
        <v>134</v>
      </c>
      <c r="AN25" s="606">
        <v>66</v>
      </c>
    </row>
    <row r="26" spans="2:43" x14ac:dyDescent="0.3">
      <c r="H26" s="162"/>
      <c r="I26" s="163"/>
      <c r="J26" s="163"/>
      <c r="K26" s="163"/>
      <c r="L26" s="591" t="s">
        <v>28</v>
      </c>
      <c r="M26" s="592"/>
      <c r="N26" s="593">
        <f>N25-S8</f>
        <v>0</v>
      </c>
      <c r="V26" s="86"/>
      <c r="W26" s="79"/>
      <c r="X26" s="79"/>
      <c r="Y26" s="87"/>
      <c r="Z26" s="602" t="s">
        <v>28</v>
      </c>
      <c r="AA26" s="603"/>
      <c r="AB26" s="83">
        <f>AB25-AG8</f>
        <v>0</v>
      </c>
      <c r="AJ26" s="94">
        <v>2</v>
      </c>
      <c r="AK26" s="50">
        <f>AM6*AR8</f>
        <v>745.19999999999993</v>
      </c>
      <c r="AL26" s="93" t="s">
        <v>28</v>
      </c>
      <c r="AM26" s="607"/>
      <c r="AN26" s="92">
        <v>0</v>
      </c>
    </row>
    <row r="27" spans="2:43" x14ac:dyDescent="0.3">
      <c r="H27" s="162" t="s">
        <v>196</v>
      </c>
      <c r="I27" s="163"/>
      <c r="J27" s="163"/>
      <c r="K27" s="164"/>
      <c r="V27" s="86" t="s">
        <v>196</v>
      </c>
      <c r="W27" s="79"/>
      <c r="X27" s="79"/>
      <c r="Y27" s="87"/>
      <c r="AJ27" s="94">
        <v>3</v>
      </c>
      <c r="AK27" s="95">
        <f>AK26+2*AM6*AS8</f>
        <v>2173.5</v>
      </c>
    </row>
    <row r="28" spans="2:43" x14ac:dyDescent="0.3">
      <c r="H28" s="162" t="s">
        <v>125</v>
      </c>
      <c r="I28" s="163">
        <v>2300</v>
      </c>
      <c r="J28" s="163"/>
      <c r="K28" s="164"/>
      <c r="V28" s="86" t="s">
        <v>125</v>
      </c>
      <c r="W28" s="79">
        <f>AA6/AF8</f>
        <v>33.823529411764703</v>
      </c>
      <c r="X28" s="79"/>
      <c r="Y28" s="87"/>
      <c r="AJ28" s="94">
        <v>4</v>
      </c>
      <c r="AK28" s="95">
        <f>AK27+3*AM6*AT8</f>
        <v>4284.8999999999996</v>
      </c>
    </row>
    <row r="29" spans="2:43" x14ac:dyDescent="0.3">
      <c r="H29" s="165" t="s">
        <v>130</v>
      </c>
      <c r="I29" s="166">
        <f>(I28+G11*S8)/2</f>
        <v>1491.55</v>
      </c>
      <c r="J29" s="166"/>
      <c r="K29" s="167"/>
      <c r="V29" s="88" t="s">
        <v>130</v>
      </c>
      <c r="W29" s="89">
        <f>(AA6+Y6*AG8)/(AF8+AG8)</f>
        <v>22.261940298507461</v>
      </c>
      <c r="X29" s="89"/>
      <c r="Y29" s="90"/>
      <c r="AJ29" s="94"/>
      <c r="AK29" s="95"/>
    </row>
    <row r="30" spans="2:43" x14ac:dyDescent="0.3">
      <c r="AJ30" s="94" t="s">
        <v>196</v>
      </c>
      <c r="AK30" s="95"/>
    </row>
    <row r="31" spans="2:43" x14ac:dyDescent="0.3">
      <c r="AJ31" s="94" t="s">
        <v>166</v>
      </c>
      <c r="AK31" s="95"/>
    </row>
    <row r="32" spans="2:43" x14ac:dyDescent="0.3">
      <c r="AJ32" s="94">
        <v>1</v>
      </c>
      <c r="AK32" s="95">
        <v>0</v>
      </c>
    </row>
    <row r="33" spans="36:37" x14ac:dyDescent="0.3">
      <c r="AJ33" s="94">
        <v>2</v>
      </c>
      <c r="AK33" s="95">
        <f>AM6*AU8</f>
        <v>683.1</v>
      </c>
    </row>
    <row r="34" spans="36:37" x14ac:dyDescent="0.3">
      <c r="AJ34" s="96"/>
      <c r="AK34" s="97"/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EB60-3421-46D4-BBE8-6EA1A59D460E}">
  <dimension ref="A1:AU26"/>
  <sheetViews>
    <sheetView tabSelected="1" zoomScale="87" workbookViewId="0">
      <selection activeCell="V2" sqref="V2"/>
    </sheetView>
  </sheetViews>
  <sheetFormatPr defaultColWidth="11.44140625" defaultRowHeight="14.4" x14ac:dyDescent="0.3"/>
  <cols>
    <col min="7" max="7" width="17.6640625" bestFit="1" customWidth="1"/>
    <col min="11" max="11" width="9.44140625" bestFit="1" customWidth="1"/>
    <col min="13" max="13" width="17.77734375" bestFit="1" customWidth="1"/>
    <col min="21" max="21" width="12.109375" bestFit="1" customWidth="1"/>
    <col min="25" max="25" width="9.44140625" bestFit="1" customWidth="1"/>
    <col min="27" max="27" width="12.109375" bestFit="1" customWidth="1"/>
    <col min="35" max="35" width="17" bestFit="1" customWidth="1"/>
    <col min="39" max="39" width="11.44140625" bestFit="1" customWidth="1"/>
  </cols>
  <sheetData>
    <row r="1" spans="1:47" x14ac:dyDescent="0.3">
      <c r="A1" s="244" t="s">
        <v>235</v>
      </c>
      <c r="B1" s="244" t="s">
        <v>236</v>
      </c>
      <c r="C1" s="244" t="s">
        <v>237</v>
      </c>
      <c r="G1" s="120" t="s">
        <v>26</v>
      </c>
      <c r="H1" s="120" t="s">
        <v>27</v>
      </c>
      <c r="I1" s="212" t="s">
        <v>5</v>
      </c>
      <c r="J1" s="212" t="s">
        <v>7</v>
      </c>
      <c r="K1" s="212" t="s">
        <v>9</v>
      </c>
      <c r="L1" s="212" t="s">
        <v>11</v>
      </c>
      <c r="M1" s="212" t="s">
        <v>13</v>
      </c>
      <c r="N1" s="212" t="s">
        <v>15</v>
      </c>
      <c r="O1" s="212" t="s">
        <v>17</v>
      </c>
      <c r="P1" s="212" t="s">
        <v>19</v>
      </c>
      <c r="Q1" s="212" t="s">
        <v>21</v>
      </c>
      <c r="R1" s="212" t="s">
        <v>23</v>
      </c>
      <c r="S1" s="212" t="s">
        <v>28</v>
      </c>
    </row>
    <row r="2" spans="1:47" x14ac:dyDescent="0.3">
      <c r="A2" s="244" t="s">
        <v>5</v>
      </c>
      <c r="B2" s="243">
        <v>2</v>
      </c>
      <c r="C2" s="564">
        <v>4</v>
      </c>
      <c r="G2" s="120" t="s">
        <v>32</v>
      </c>
      <c r="H2" s="121"/>
      <c r="I2" s="253">
        <v>4</v>
      </c>
      <c r="J2" s="253">
        <v>4</v>
      </c>
      <c r="K2" s="253">
        <v>7</v>
      </c>
      <c r="L2" s="253">
        <v>8</v>
      </c>
      <c r="M2" s="253">
        <v>9</v>
      </c>
      <c r="N2" s="253">
        <v>6</v>
      </c>
      <c r="O2" s="253">
        <v>6</v>
      </c>
      <c r="P2" s="253">
        <v>7</v>
      </c>
      <c r="Q2" s="253">
        <v>6</v>
      </c>
      <c r="R2" s="253">
        <v>5</v>
      </c>
      <c r="S2" s="253">
        <v>6</v>
      </c>
      <c r="U2" s="114" t="s">
        <v>29</v>
      </c>
      <c r="V2" s="114">
        <f>2*B14</f>
        <v>4600</v>
      </c>
    </row>
    <row r="3" spans="1:47" x14ac:dyDescent="0.3">
      <c r="A3" s="244" t="s">
        <v>7</v>
      </c>
      <c r="B3" s="243">
        <v>16</v>
      </c>
      <c r="C3" s="564">
        <v>4</v>
      </c>
      <c r="G3" s="120" t="s">
        <v>35</v>
      </c>
      <c r="H3" s="252">
        <v>4.2384614537663072</v>
      </c>
      <c r="I3" s="252">
        <v>3.5669230176364151</v>
      </c>
      <c r="J3" s="252">
        <v>7.2968461123454897</v>
      </c>
      <c r="K3" s="252">
        <v>7.5077922786418423</v>
      </c>
      <c r="L3" s="252">
        <v>8.855454595049288</v>
      </c>
      <c r="M3" s="252">
        <v>6.1988182165345016</v>
      </c>
      <c r="N3" s="252">
        <v>5.5391727515741511</v>
      </c>
      <c r="O3" s="252">
        <v>7.4774209261019049</v>
      </c>
      <c r="P3" s="252">
        <v>5.8341946482713327</v>
      </c>
      <c r="Q3" s="252">
        <v>5.2839362537899328</v>
      </c>
      <c r="R3" s="252">
        <v>6.0987553776529531</v>
      </c>
      <c r="S3" s="121"/>
      <c r="U3" s="114" t="s">
        <v>33</v>
      </c>
      <c r="V3" s="114">
        <f>SUM(I6:S6)*D16</f>
        <v>3798.7950000000001</v>
      </c>
    </row>
    <row r="4" spans="1:47" x14ac:dyDescent="0.3">
      <c r="A4" s="244" t="s">
        <v>9</v>
      </c>
      <c r="B4" s="243">
        <v>8</v>
      </c>
      <c r="C4" s="564">
        <v>7</v>
      </c>
      <c r="G4" s="120" t="s">
        <v>40</v>
      </c>
      <c r="H4" s="121">
        <v>45</v>
      </c>
      <c r="I4" s="121">
        <v>0</v>
      </c>
      <c r="J4" s="121">
        <v>0</v>
      </c>
      <c r="K4" s="121">
        <v>0</v>
      </c>
      <c r="L4" s="121">
        <v>0</v>
      </c>
      <c r="M4" s="121">
        <v>0</v>
      </c>
      <c r="N4" s="121">
        <v>0</v>
      </c>
      <c r="O4" s="121">
        <v>45</v>
      </c>
      <c r="P4" s="121">
        <v>0</v>
      </c>
      <c r="Q4" s="121">
        <v>0</v>
      </c>
      <c r="R4" s="121">
        <v>0</v>
      </c>
      <c r="S4" s="121"/>
      <c r="U4" s="114" t="s">
        <v>36</v>
      </c>
      <c r="V4" s="114">
        <f>V2+V3</f>
        <v>8398.7950000000001</v>
      </c>
    </row>
    <row r="5" spans="1:47" x14ac:dyDescent="0.3">
      <c r="A5" s="244" t="s">
        <v>11</v>
      </c>
      <c r="B5" s="243">
        <v>12</v>
      </c>
      <c r="C5" s="564">
        <v>8</v>
      </c>
      <c r="G5" s="120" t="s">
        <v>43</v>
      </c>
      <c r="H5" s="121"/>
      <c r="I5" s="121">
        <v>45</v>
      </c>
      <c r="J5" s="121">
        <v>0</v>
      </c>
      <c r="K5" s="121">
        <v>0</v>
      </c>
      <c r="L5" s="121">
        <v>0</v>
      </c>
      <c r="M5" s="121">
        <v>0</v>
      </c>
      <c r="N5" s="121">
        <v>0</v>
      </c>
      <c r="O5" s="121">
        <v>0</v>
      </c>
      <c r="P5" s="121">
        <v>45</v>
      </c>
      <c r="Q5" s="121">
        <v>0</v>
      </c>
      <c r="R5" s="121">
        <v>0</v>
      </c>
      <c r="S5" s="121">
        <v>0</v>
      </c>
    </row>
    <row r="6" spans="1:47" x14ac:dyDescent="0.3">
      <c r="A6" s="244" t="s">
        <v>13</v>
      </c>
      <c r="B6" s="243">
        <v>0</v>
      </c>
      <c r="C6" s="564">
        <v>9</v>
      </c>
      <c r="G6" s="120" t="s">
        <v>45</v>
      </c>
      <c r="H6" s="121"/>
      <c r="I6" s="252">
        <f>H4-I2</f>
        <v>41</v>
      </c>
      <c r="J6" s="252">
        <f>I6+I4-J2</f>
        <v>37</v>
      </c>
      <c r="K6" s="252">
        <f>J6+J4-K2</f>
        <v>30</v>
      </c>
      <c r="L6" s="252">
        <f>K6+K4-L2</f>
        <v>22</v>
      </c>
      <c r="M6" s="252">
        <f>L6+L4-M2</f>
        <v>13</v>
      </c>
      <c r="N6" s="252">
        <f>M6+M4-N2</f>
        <v>7</v>
      </c>
      <c r="O6" s="252">
        <f>N4+N6-O2</f>
        <v>1</v>
      </c>
      <c r="P6" s="252">
        <f>O4+O6-P2</f>
        <v>39</v>
      </c>
      <c r="Q6" s="252">
        <f>P6+P4-Q2</f>
        <v>33</v>
      </c>
      <c r="R6" s="252">
        <f>Q6+Q4-R2</f>
        <v>28</v>
      </c>
      <c r="S6" s="252">
        <f>R6+R4-S2</f>
        <v>22</v>
      </c>
      <c r="X6" s="67" t="s">
        <v>202</v>
      </c>
      <c r="Y6" s="2">
        <v>13.914999999999999</v>
      </c>
      <c r="Z6" s="67" t="s">
        <v>203</v>
      </c>
      <c r="AA6" s="2">
        <v>2300</v>
      </c>
      <c r="AL6" s="67" t="s">
        <v>202</v>
      </c>
      <c r="AM6" s="2">
        <v>13.914999999999999</v>
      </c>
      <c r="AN6" s="67" t="s">
        <v>203</v>
      </c>
      <c r="AO6" s="2">
        <v>2300</v>
      </c>
    </row>
    <row r="7" spans="1:47" x14ac:dyDescent="0.3">
      <c r="A7" s="244" t="s">
        <v>15</v>
      </c>
      <c r="B7" s="243">
        <v>4</v>
      </c>
      <c r="C7" s="564">
        <v>6</v>
      </c>
    </row>
    <row r="8" spans="1:47" x14ac:dyDescent="0.3">
      <c r="A8" s="244" t="s">
        <v>17</v>
      </c>
      <c r="B8" s="243">
        <v>12</v>
      </c>
      <c r="C8" s="564">
        <v>6</v>
      </c>
      <c r="G8" s="254" t="s">
        <v>162</v>
      </c>
      <c r="H8" s="158" t="s">
        <v>163</v>
      </c>
      <c r="I8" s="255">
        <v>4</v>
      </c>
      <c r="J8" s="255">
        <v>4</v>
      </c>
      <c r="K8" s="255">
        <v>7</v>
      </c>
      <c r="L8" s="255">
        <v>8</v>
      </c>
      <c r="M8" s="255">
        <v>9</v>
      </c>
      <c r="N8" s="255">
        <v>6</v>
      </c>
      <c r="O8" s="255">
        <v>6</v>
      </c>
      <c r="P8" s="255">
        <v>7</v>
      </c>
      <c r="Q8" s="255">
        <v>6</v>
      </c>
      <c r="R8" s="255">
        <v>5</v>
      </c>
      <c r="S8" s="255">
        <v>6</v>
      </c>
      <c r="U8" s="81" t="s">
        <v>96</v>
      </c>
      <c r="V8" s="82" t="s">
        <v>163</v>
      </c>
      <c r="W8" s="261">
        <v>4</v>
      </c>
      <c r="X8" s="261">
        <v>4</v>
      </c>
      <c r="Y8" s="261">
        <v>7</v>
      </c>
      <c r="Z8" s="261">
        <v>8</v>
      </c>
      <c r="AA8" s="261">
        <v>9</v>
      </c>
      <c r="AB8" s="261">
        <v>6</v>
      </c>
      <c r="AC8" s="261">
        <v>6</v>
      </c>
      <c r="AD8" s="261">
        <v>7</v>
      </c>
      <c r="AE8" s="261">
        <v>6</v>
      </c>
      <c r="AF8" s="261">
        <v>5</v>
      </c>
      <c r="AG8" s="261">
        <v>6</v>
      </c>
      <c r="AI8" s="47" t="s">
        <v>164</v>
      </c>
      <c r="AJ8" s="168" t="s">
        <v>163</v>
      </c>
      <c r="AK8" s="264">
        <v>4</v>
      </c>
      <c r="AL8" s="264">
        <v>4</v>
      </c>
      <c r="AM8" s="264">
        <v>7</v>
      </c>
      <c r="AN8" s="264">
        <v>8</v>
      </c>
      <c r="AO8" s="264">
        <v>9</v>
      </c>
      <c r="AP8" s="264">
        <v>6</v>
      </c>
      <c r="AQ8" s="264">
        <v>6</v>
      </c>
      <c r="AR8" s="264">
        <v>7</v>
      </c>
      <c r="AS8" s="264">
        <v>6</v>
      </c>
      <c r="AT8" s="264">
        <v>5</v>
      </c>
      <c r="AU8" s="264">
        <v>6</v>
      </c>
    </row>
    <row r="9" spans="1:47" x14ac:dyDescent="0.3">
      <c r="A9" s="244" t="s">
        <v>19</v>
      </c>
      <c r="B9" s="243">
        <v>2</v>
      </c>
      <c r="C9" s="564">
        <v>7</v>
      </c>
      <c r="H9" s="159" t="s">
        <v>165</v>
      </c>
      <c r="I9" s="160"/>
      <c r="J9" s="160"/>
      <c r="K9" s="161"/>
      <c r="V9" s="83" t="s">
        <v>165</v>
      </c>
      <c r="W9" s="84"/>
      <c r="X9" s="84"/>
      <c r="Y9" s="85"/>
      <c r="AJ9" s="92" t="s">
        <v>165</v>
      </c>
      <c r="AK9" s="93"/>
    </row>
    <row r="10" spans="1:47" x14ac:dyDescent="0.3">
      <c r="A10" s="244" t="s">
        <v>21</v>
      </c>
      <c r="B10" s="243">
        <v>4</v>
      </c>
      <c r="C10" s="564">
        <v>6</v>
      </c>
      <c r="F10" s="67" t="s">
        <v>42</v>
      </c>
      <c r="G10" s="2">
        <v>2300</v>
      </c>
      <c r="H10" s="162" t="s">
        <v>125</v>
      </c>
      <c r="I10" s="163">
        <v>2300</v>
      </c>
      <c r="J10" s="163"/>
      <c r="K10" s="164"/>
      <c r="L10" s="159" t="s">
        <v>126</v>
      </c>
      <c r="M10" s="160" t="s">
        <v>238</v>
      </c>
      <c r="N10" s="160"/>
      <c r="O10" s="161">
        <f>SUM(I8:O8)</f>
        <v>44</v>
      </c>
      <c r="V10" s="86" t="s">
        <v>125</v>
      </c>
      <c r="W10" s="79">
        <f>AA6/W8</f>
        <v>575</v>
      </c>
      <c r="X10" s="79"/>
      <c r="Y10" s="87"/>
      <c r="Z10" s="83" t="s">
        <v>126</v>
      </c>
      <c r="AA10" s="85">
        <f>SUM(W8:AD8)</f>
        <v>51</v>
      </c>
      <c r="AJ10" s="94" t="s">
        <v>166</v>
      </c>
      <c r="AK10" s="95"/>
      <c r="AL10" s="92" t="s">
        <v>126</v>
      </c>
      <c r="AM10" s="93">
        <f>SUM(AK8:AQ8)</f>
        <v>44</v>
      </c>
    </row>
    <row r="11" spans="1:47" x14ac:dyDescent="0.3">
      <c r="A11" s="244" t="s">
        <v>23</v>
      </c>
      <c r="B11" s="243">
        <v>8</v>
      </c>
      <c r="C11" s="564">
        <v>5</v>
      </c>
      <c r="D11" s="173"/>
      <c r="F11" s="67" t="s">
        <v>6</v>
      </c>
      <c r="G11" s="2">
        <v>13.914999999999999</v>
      </c>
      <c r="H11" s="162" t="s">
        <v>130</v>
      </c>
      <c r="I11" s="163">
        <f>(I10+G11*J8)/2</f>
        <v>1177.83</v>
      </c>
      <c r="J11" s="163"/>
      <c r="K11" s="164"/>
      <c r="L11" s="165" t="s">
        <v>156</v>
      </c>
      <c r="M11" s="166" t="s">
        <v>239</v>
      </c>
      <c r="N11" s="166"/>
      <c r="O11" s="167">
        <f>SUM(P8:S8)</f>
        <v>24</v>
      </c>
      <c r="V11" s="86" t="s">
        <v>130</v>
      </c>
      <c r="W11" s="79">
        <f>(AA6+Y6*X8)/(W8+X8)</f>
        <v>294.45749999999998</v>
      </c>
      <c r="X11" s="79"/>
      <c r="Y11" s="87"/>
      <c r="Z11" s="88" t="s">
        <v>178</v>
      </c>
      <c r="AA11" s="90">
        <f>SUM(AE8:AG8)</f>
        <v>17</v>
      </c>
      <c r="AJ11" s="94">
        <v>1</v>
      </c>
      <c r="AK11" s="95">
        <v>0</v>
      </c>
      <c r="AL11" s="96" t="s">
        <v>156</v>
      </c>
      <c r="AM11" s="97">
        <f>SUM(AR8:AU8)</f>
        <v>24</v>
      </c>
    </row>
    <row r="12" spans="1:47" x14ac:dyDescent="0.3">
      <c r="A12" s="244" t="s">
        <v>28</v>
      </c>
      <c r="B12" s="243">
        <v>2</v>
      </c>
      <c r="C12" s="564">
        <v>6</v>
      </c>
      <c r="H12" s="162" t="s">
        <v>132</v>
      </c>
      <c r="I12" s="163">
        <f>(I10+G11*J8+2*G11*K8)/3</f>
        <v>850.15666666666664</v>
      </c>
      <c r="J12" s="163"/>
      <c r="K12" s="164"/>
      <c r="V12" s="86" t="s">
        <v>132</v>
      </c>
      <c r="W12" s="79">
        <f>(AA6+Y6*X8+2*Y6*Y8)/(W8+X8+Y8)</f>
        <v>170.03133333333332</v>
      </c>
      <c r="X12" s="79"/>
      <c r="Y12" s="87"/>
      <c r="AJ12" s="94">
        <v>2</v>
      </c>
      <c r="AK12" s="95">
        <f>AM6*AL8</f>
        <v>55.66</v>
      </c>
    </row>
    <row r="13" spans="1:47" x14ac:dyDescent="0.3">
      <c r="B13" t="s">
        <v>240</v>
      </c>
      <c r="C13" s="16">
        <f>AVERAGE(C2:C12)</f>
        <v>6.1818181818181817</v>
      </c>
      <c r="H13" s="162" t="s">
        <v>134</v>
      </c>
      <c r="I13" s="163">
        <f>(I10+G11*J8+2*G11*K8+3*G11*L8)/4</f>
        <v>721.10749999999996</v>
      </c>
      <c r="J13" s="163"/>
      <c r="K13" s="164"/>
      <c r="L13" s="152"/>
      <c r="M13" s="141" t="s">
        <v>234</v>
      </c>
      <c r="N13" s="141" t="s">
        <v>128</v>
      </c>
      <c r="P13" s="17" t="s">
        <v>29</v>
      </c>
      <c r="Q13" s="17">
        <f>2*2300</f>
        <v>4600</v>
      </c>
      <c r="V13" s="86" t="s">
        <v>134</v>
      </c>
      <c r="W13" s="79">
        <f>(AA6+Y6*X8+2*Y6*Y8+3*Y6*Z8)/SUM(W8:Z8)</f>
        <v>125.41</v>
      </c>
      <c r="X13" s="79"/>
      <c r="Y13" s="87"/>
      <c r="Z13" s="153"/>
      <c r="AA13" s="263" t="s">
        <v>234</v>
      </c>
      <c r="AB13" s="263" t="s">
        <v>128</v>
      </c>
      <c r="AD13" s="79" t="s">
        <v>29</v>
      </c>
      <c r="AE13" s="79">
        <f>2*AA6</f>
        <v>4600</v>
      </c>
      <c r="AJ13" s="94">
        <v>3</v>
      </c>
      <c r="AK13" s="95">
        <f>AK12+2*AM8*AM6</f>
        <v>250.47</v>
      </c>
      <c r="AL13" s="47"/>
      <c r="AM13" s="47" t="s">
        <v>234</v>
      </c>
      <c r="AN13" s="47" t="s">
        <v>128</v>
      </c>
      <c r="AP13" s="50" t="s">
        <v>29</v>
      </c>
      <c r="AQ13" s="50">
        <f>2*2300</f>
        <v>4600</v>
      </c>
    </row>
    <row r="14" spans="1:47" x14ac:dyDescent="0.3">
      <c r="A14" s="433" t="s">
        <v>203</v>
      </c>
      <c r="B14" s="434">
        <v>2300</v>
      </c>
      <c r="C14" s="243"/>
      <c r="D14" s="243"/>
      <c r="H14" s="162" t="s">
        <v>135</v>
      </c>
      <c r="I14" s="163">
        <f>(I10+G11*J8+2*G11*K8+3*G11*L8+4*G11*M8)/5</f>
        <v>677.07399999999996</v>
      </c>
      <c r="J14" s="163"/>
      <c r="K14" s="164"/>
      <c r="L14" s="214" t="s">
        <v>5</v>
      </c>
      <c r="M14" s="18">
        <v>44</v>
      </c>
      <c r="N14" s="18">
        <f>M14-I8</f>
        <v>40</v>
      </c>
      <c r="P14" s="17" t="s">
        <v>219</v>
      </c>
      <c r="Q14" s="17">
        <f>SUM(N14:N24)*G11</f>
        <v>2476.87</v>
      </c>
      <c r="V14" s="86" t="s">
        <v>135</v>
      </c>
      <c r="W14" s="79">
        <f>(AA6+Y6*X8+2*Y6*Y8+3*Y6*Z8+4*Y6*AA8)/SUM(W8:AA8)</f>
        <v>105.7928125</v>
      </c>
      <c r="X14" s="79"/>
      <c r="Y14" s="87"/>
      <c r="Z14" s="215" t="s">
        <v>5</v>
      </c>
      <c r="AA14" s="81">
        <v>51</v>
      </c>
      <c r="AB14" s="81">
        <f>AA14-W8</f>
        <v>47</v>
      </c>
      <c r="AD14" s="79" t="s">
        <v>219</v>
      </c>
      <c r="AE14" s="79">
        <f>SUM(AB14:AB24)*Y6</f>
        <v>2922.1499999999996</v>
      </c>
      <c r="AJ14" s="94">
        <v>4</v>
      </c>
      <c r="AK14" s="95">
        <f>AK13+3*AN8*AM6</f>
        <v>584.42999999999995</v>
      </c>
      <c r="AL14" s="47" t="s">
        <v>5</v>
      </c>
      <c r="AM14" s="47">
        <v>44</v>
      </c>
      <c r="AN14" s="47">
        <v>40</v>
      </c>
      <c r="AP14" s="50" t="s">
        <v>219</v>
      </c>
      <c r="AQ14" s="50">
        <f>SUM(AN14:AN24)*AM6</f>
        <v>2476.87</v>
      </c>
    </row>
    <row r="15" spans="1:47" x14ac:dyDescent="0.3">
      <c r="A15" s="435" t="s">
        <v>3</v>
      </c>
      <c r="B15" s="434">
        <v>0.46</v>
      </c>
      <c r="C15" s="243" t="s">
        <v>4</v>
      </c>
      <c r="D15" s="243">
        <v>30.25</v>
      </c>
      <c r="H15" s="162" t="s">
        <v>136</v>
      </c>
      <c r="I15" s="163">
        <f>(I10+G11*J8+2*G11*K8+3*G11*L8+4*G11*M8+5*G11*N8)/6</f>
        <v>633.80333333333328</v>
      </c>
      <c r="J15" s="163"/>
      <c r="K15" s="164"/>
      <c r="L15" s="214" t="s">
        <v>7</v>
      </c>
      <c r="M15" s="18"/>
      <c r="N15" s="18">
        <f>N14-J8</f>
        <v>36</v>
      </c>
      <c r="P15" s="17" t="s">
        <v>36</v>
      </c>
      <c r="Q15" s="17">
        <f>Q13+Q14</f>
        <v>7076.87</v>
      </c>
      <c r="V15" s="86" t="s">
        <v>136</v>
      </c>
      <c r="W15" s="79">
        <f>(AA6+Y6*X8+2*Y6*Y8+3*Y6*Z8+4*Y6*AA8+5*Y6*AB8)/SUM(W8:AB8)</f>
        <v>100.07421052631578</v>
      </c>
      <c r="X15" s="79"/>
      <c r="Y15" s="87"/>
      <c r="Z15" s="215" t="s">
        <v>7</v>
      </c>
      <c r="AA15" s="81"/>
      <c r="AB15" s="81">
        <f>AB14-X8</f>
        <v>43</v>
      </c>
      <c r="AD15" s="79" t="s">
        <v>36</v>
      </c>
      <c r="AE15" s="79">
        <f>AE13+AE14</f>
        <v>7522.15</v>
      </c>
      <c r="AJ15" s="94">
        <v>5</v>
      </c>
      <c r="AK15" s="95">
        <f>AK14+4*AM6*AO8</f>
        <v>1085.3699999999999</v>
      </c>
      <c r="AL15" s="47" t="s">
        <v>7</v>
      </c>
      <c r="AM15" s="47"/>
      <c r="AN15" s="47">
        <v>36</v>
      </c>
      <c r="AP15" s="50" t="s">
        <v>36</v>
      </c>
      <c r="AQ15" s="50">
        <f>AQ13+AQ14</f>
        <v>7076.87</v>
      </c>
    </row>
    <row r="16" spans="1:47" x14ac:dyDescent="0.3">
      <c r="A16" s="243"/>
      <c r="B16" s="243"/>
      <c r="C16" s="243" t="s">
        <v>6</v>
      </c>
      <c r="D16" s="243">
        <f>B15*D15</f>
        <v>13.915000000000001</v>
      </c>
      <c r="H16" s="162" t="s">
        <v>137</v>
      </c>
      <c r="I16" s="163">
        <f>(I10+G11*J8+2*G11*K8+3*G11*L8+4*G11*M8+5*G11*N8+6*G11*O8)/7</f>
        <v>614.82285714285706</v>
      </c>
      <c r="J16" s="163"/>
      <c r="K16" s="164"/>
      <c r="L16" s="214" t="s">
        <v>9</v>
      </c>
      <c r="M16" s="18"/>
      <c r="N16" s="18">
        <f>N15-K8</f>
        <v>29</v>
      </c>
      <c r="V16" s="86" t="s">
        <v>137</v>
      </c>
      <c r="W16" s="79">
        <f>(AA6+Y6*X8+2*Y6*Y8+3*Y6*Z8+4*Y6*AA8+5*Y6*AB8+6*Y6*AC8)/SUM(W8:AC8)</f>
        <v>97.812727272727258</v>
      </c>
      <c r="X16" s="79"/>
      <c r="Y16" s="87"/>
      <c r="Z16" s="215" t="s">
        <v>9</v>
      </c>
      <c r="AA16" s="81"/>
      <c r="AB16" s="81">
        <f>AB15-Y8</f>
        <v>36</v>
      </c>
      <c r="AJ16" s="94">
        <v>6</v>
      </c>
      <c r="AK16" s="95">
        <f>AK15+5*AM6*AP8</f>
        <v>1502.8199999999997</v>
      </c>
      <c r="AL16" s="47" t="s">
        <v>9</v>
      </c>
      <c r="AM16" s="47"/>
      <c r="AN16" s="47">
        <v>29</v>
      </c>
    </row>
    <row r="17" spans="2:40" x14ac:dyDescent="0.3">
      <c r="H17" s="162" t="s">
        <v>138</v>
      </c>
      <c r="I17" s="163">
        <f>(I10+G11*J8+2*G11*K8+3*G11*L8+4*G11*M8+5*G11*N8+6*G11*O8+7*G11*P8)/8</f>
        <v>623.19937499999992</v>
      </c>
      <c r="J17" s="163"/>
      <c r="K17" s="164" t="s">
        <v>241</v>
      </c>
      <c r="L17" s="214" t="s">
        <v>11</v>
      </c>
      <c r="M17" s="18"/>
      <c r="N17" s="18">
        <f>N16-L8</f>
        <v>21</v>
      </c>
      <c r="V17" s="86" t="s">
        <v>138</v>
      </c>
      <c r="W17" s="79">
        <f>(AA6+Y6*X8+2*Y6*Y8+3*Y6*Z8+4*Y6*AA8+5*Y6*AB8+6*Y6*AC8+7*Y6*AD8)/SUM(W8:AD8)</f>
        <v>97.756764705882347</v>
      </c>
      <c r="X17" s="79"/>
      <c r="Y17" s="87"/>
      <c r="Z17" s="215" t="s">
        <v>11</v>
      </c>
      <c r="AA17" s="81"/>
      <c r="AB17" s="81">
        <f>AB16-Z8</f>
        <v>28</v>
      </c>
      <c r="AJ17" s="94">
        <v>7</v>
      </c>
      <c r="AK17" s="95">
        <f>AK16+6*AM6*AQ8</f>
        <v>2003.7599999999998</v>
      </c>
      <c r="AL17" s="47" t="s">
        <v>11</v>
      </c>
      <c r="AM17" s="47"/>
      <c r="AN17" s="47">
        <v>21</v>
      </c>
    </row>
    <row r="18" spans="2:40" x14ac:dyDescent="0.3">
      <c r="B18" t="s">
        <v>177</v>
      </c>
      <c r="C18" s="16">
        <f>SQRT(2*B14*C13/D16)</f>
        <v>45.205931673313529</v>
      </c>
      <c r="H18" s="162"/>
      <c r="I18" s="163"/>
      <c r="J18" s="163"/>
      <c r="K18" s="164"/>
      <c r="L18" s="214" t="s">
        <v>13</v>
      </c>
      <c r="M18" s="18"/>
      <c r="N18" s="18">
        <f>N17-M8</f>
        <v>12</v>
      </c>
      <c r="V18" s="86" t="s">
        <v>139</v>
      </c>
      <c r="W18" s="79">
        <f>(AA6+Y6*X8+2*Y6*Y8+3*Y6*Z8+4*Y6*AA8+5*Y6*AB8+6*Y6*AC8+7*Y6*AD8+8*Y6*AE8)/SUM(W8:AE8)</f>
        <v>99.184473684210516</v>
      </c>
      <c r="X18" s="79"/>
      <c r="Y18" s="87" t="s">
        <v>242</v>
      </c>
      <c r="Z18" s="215" t="s">
        <v>13</v>
      </c>
      <c r="AA18" s="81"/>
      <c r="AB18" s="81">
        <f>AB17-AA8</f>
        <v>19</v>
      </c>
      <c r="AJ18" s="94">
        <v>8</v>
      </c>
      <c r="AK18" s="95">
        <f>AK17+7*AM6*AR8</f>
        <v>2685.5949999999998</v>
      </c>
      <c r="AL18" s="47" t="s">
        <v>13</v>
      </c>
      <c r="AM18" s="47"/>
      <c r="AN18" s="47">
        <v>12</v>
      </c>
    </row>
    <row r="19" spans="2:40" x14ac:dyDescent="0.3">
      <c r="H19" s="162" t="s">
        <v>190</v>
      </c>
      <c r="I19" s="163"/>
      <c r="J19" s="163"/>
      <c r="K19" s="164"/>
      <c r="L19" s="214" t="s">
        <v>15</v>
      </c>
      <c r="M19" s="18"/>
      <c r="N19" s="18">
        <f>N18-N8</f>
        <v>6</v>
      </c>
      <c r="V19" s="86"/>
      <c r="W19" s="79"/>
      <c r="X19" s="79"/>
      <c r="Y19" s="87"/>
      <c r="Z19" s="215" t="s">
        <v>15</v>
      </c>
      <c r="AA19" s="81"/>
      <c r="AB19" s="81">
        <f>AB18-AB8</f>
        <v>13</v>
      </c>
      <c r="AJ19" s="94"/>
      <c r="AK19" s="95"/>
      <c r="AL19" s="47" t="s">
        <v>15</v>
      </c>
      <c r="AM19" s="47"/>
      <c r="AN19" s="47">
        <v>6</v>
      </c>
    </row>
    <row r="20" spans="2:40" x14ac:dyDescent="0.3">
      <c r="H20" s="162" t="s">
        <v>125</v>
      </c>
      <c r="I20" s="163">
        <v>2300</v>
      </c>
      <c r="J20" s="163"/>
      <c r="K20" s="164"/>
      <c r="L20" s="214" t="s">
        <v>17</v>
      </c>
      <c r="M20" s="18"/>
      <c r="N20" s="18">
        <f>N19-O8</f>
        <v>0</v>
      </c>
      <c r="V20" s="86" t="s">
        <v>193</v>
      </c>
      <c r="W20" s="79"/>
      <c r="X20" s="79"/>
      <c r="Y20" s="87"/>
      <c r="Z20" s="215" t="s">
        <v>17</v>
      </c>
      <c r="AA20" s="81"/>
      <c r="AB20" s="81">
        <f>AB19-AC8</f>
        <v>7</v>
      </c>
      <c r="AJ20" s="94" t="s">
        <v>190</v>
      </c>
      <c r="AK20" s="95"/>
      <c r="AL20" s="47" t="s">
        <v>17</v>
      </c>
      <c r="AM20" s="47"/>
      <c r="AN20" s="47">
        <v>0</v>
      </c>
    </row>
    <row r="21" spans="2:40" x14ac:dyDescent="0.3">
      <c r="H21" s="162" t="s">
        <v>130</v>
      </c>
      <c r="I21" s="163">
        <f>(I20+G11*Q8)/2</f>
        <v>1191.7449999999999</v>
      </c>
      <c r="J21" s="163"/>
      <c r="K21" s="164"/>
      <c r="L21" s="214" t="s">
        <v>19</v>
      </c>
      <c r="M21" s="18">
        <v>24</v>
      </c>
      <c r="N21" s="18">
        <f>M21-P8</f>
        <v>17</v>
      </c>
      <c r="V21" s="86" t="s">
        <v>125</v>
      </c>
      <c r="W21" s="79">
        <f>AA6/AE8</f>
        <v>383.33333333333331</v>
      </c>
      <c r="X21" s="79"/>
      <c r="Y21" s="87"/>
      <c r="Z21" s="215" t="s">
        <v>19</v>
      </c>
      <c r="AA21" s="81"/>
      <c r="AB21" s="81">
        <f>AB20-AD8</f>
        <v>0</v>
      </c>
      <c r="AJ21" s="94" t="s">
        <v>195</v>
      </c>
      <c r="AK21" s="95"/>
      <c r="AL21" s="47" t="s">
        <v>19</v>
      </c>
      <c r="AM21" s="47">
        <v>24</v>
      </c>
      <c r="AN21" s="47">
        <v>17</v>
      </c>
    </row>
    <row r="22" spans="2:40" x14ac:dyDescent="0.3">
      <c r="H22" s="162" t="s">
        <v>132</v>
      </c>
      <c r="I22" s="163">
        <f>(G10+G11*Q8+2*R8*G11)/3</f>
        <v>840.88</v>
      </c>
      <c r="J22" s="163"/>
      <c r="K22" s="164"/>
      <c r="L22" s="214" t="s">
        <v>21</v>
      </c>
      <c r="M22" s="18"/>
      <c r="N22" s="18">
        <f>N21-Q8</f>
        <v>11</v>
      </c>
      <c r="V22" s="86" t="s">
        <v>130</v>
      </c>
      <c r="W22" s="79">
        <f>(AA6+Y6*AF8)/(AE8+AF8)</f>
        <v>215.41590909090908</v>
      </c>
      <c r="X22" s="79"/>
      <c r="Y22" s="87"/>
      <c r="Z22" s="215" t="s">
        <v>21</v>
      </c>
      <c r="AA22" s="81">
        <v>17</v>
      </c>
      <c r="AB22" s="81">
        <f>AA22-AE8</f>
        <v>11</v>
      </c>
      <c r="AJ22" s="94">
        <v>1</v>
      </c>
      <c r="AK22" s="95">
        <v>0</v>
      </c>
      <c r="AL22" s="47" t="s">
        <v>21</v>
      </c>
      <c r="AM22" s="47"/>
      <c r="AN22" s="47">
        <v>11</v>
      </c>
    </row>
    <row r="23" spans="2:40" x14ac:dyDescent="0.3">
      <c r="H23" s="165" t="s">
        <v>134</v>
      </c>
      <c r="I23" s="166">
        <f>(I20+G11*Q8+2*R8*G11+3*G11*S8)/4</f>
        <v>693.27749999999992</v>
      </c>
      <c r="J23" s="166"/>
      <c r="K23" s="167"/>
      <c r="L23" s="214" t="s">
        <v>23</v>
      </c>
      <c r="M23" s="18"/>
      <c r="N23" s="18">
        <f>N22-R8</f>
        <v>6</v>
      </c>
      <c r="V23" s="88" t="s">
        <v>132</v>
      </c>
      <c r="W23" s="89">
        <f>(AA6+Y6*AF8+2*Y6*AG8)/SUM(AE8:AG8)</f>
        <v>149.2091176470588</v>
      </c>
      <c r="X23" s="89"/>
      <c r="Y23" s="90"/>
      <c r="Z23" s="215" t="s">
        <v>23</v>
      </c>
      <c r="AA23" s="81"/>
      <c r="AB23" s="81">
        <f>AB22-AF8</f>
        <v>6</v>
      </c>
      <c r="AJ23" s="94">
        <v>2</v>
      </c>
      <c r="AK23" s="95">
        <f>AM6*AS8</f>
        <v>83.49</v>
      </c>
      <c r="AL23" s="47" t="s">
        <v>23</v>
      </c>
      <c r="AM23" s="47"/>
      <c r="AN23" s="47">
        <v>6</v>
      </c>
    </row>
    <row r="24" spans="2:40" x14ac:dyDescent="0.3">
      <c r="L24" s="214" t="s">
        <v>28</v>
      </c>
      <c r="M24" s="18"/>
      <c r="N24" s="18">
        <f>N23-S8</f>
        <v>0</v>
      </c>
      <c r="Z24" s="215" t="s">
        <v>28</v>
      </c>
      <c r="AA24" s="81"/>
      <c r="AB24" s="81">
        <f>AB23-AG8</f>
        <v>0</v>
      </c>
      <c r="AJ24" s="94">
        <v>3</v>
      </c>
      <c r="AK24" s="95">
        <f>AK23+2*AM6*AT8</f>
        <v>222.64</v>
      </c>
      <c r="AL24" s="47" t="s">
        <v>28</v>
      </c>
      <c r="AM24" s="47"/>
      <c r="AN24" s="47">
        <v>0</v>
      </c>
    </row>
    <row r="25" spans="2:40" x14ac:dyDescent="0.3">
      <c r="AJ25" s="94">
        <v>4</v>
      </c>
      <c r="AK25" s="95">
        <f>AK24+3*AM6*AU8</f>
        <v>473.10999999999996</v>
      </c>
    </row>
    <row r="26" spans="2:40" x14ac:dyDescent="0.3">
      <c r="AJ26" s="96"/>
      <c r="AK26" s="9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CC2CE-91B7-4905-83B3-BCF801C9CB17}">
  <dimension ref="B3:AL101"/>
  <sheetViews>
    <sheetView topLeftCell="G1" zoomScale="46" zoomScaleNormal="69" workbookViewId="0">
      <selection activeCell="W11" sqref="W11"/>
    </sheetView>
  </sheetViews>
  <sheetFormatPr defaultColWidth="8.77734375" defaultRowHeight="14.4" x14ac:dyDescent="0.3"/>
  <cols>
    <col min="2" max="2" width="10.6640625" bestFit="1" customWidth="1"/>
    <col min="3" max="3" width="11.44140625" customWidth="1"/>
    <col min="4" max="4" width="13" bestFit="1" customWidth="1"/>
    <col min="10" max="10" width="19.44140625" bestFit="1" customWidth="1"/>
    <col min="11" max="11" width="10" bestFit="1" customWidth="1"/>
    <col min="12" max="12" width="7.44140625" bestFit="1" customWidth="1"/>
    <col min="13" max="13" width="13.109375" bestFit="1" customWidth="1"/>
    <col min="16" max="16" width="21.33203125" bestFit="1" customWidth="1"/>
    <col min="19" max="19" width="19.44140625" bestFit="1" customWidth="1"/>
    <col min="25" max="25" width="19.109375" bestFit="1" customWidth="1"/>
    <col min="26" max="26" width="10.109375" bestFit="1" customWidth="1"/>
    <col min="27" max="27" width="13.44140625" bestFit="1" customWidth="1"/>
    <col min="28" max="29" width="13.109375" bestFit="1" customWidth="1"/>
    <col min="31" max="32" width="21.33203125" bestFit="1" customWidth="1"/>
    <col min="34" max="34" width="12.6640625" bestFit="1" customWidth="1"/>
    <col min="36" max="36" width="12.6640625" bestFit="1" customWidth="1"/>
    <col min="37" max="37" width="10.109375" bestFit="1" customWidth="1"/>
  </cols>
  <sheetData>
    <row r="3" spans="2:37" x14ac:dyDescent="0.3">
      <c r="B3" s="67" t="s">
        <v>243</v>
      </c>
      <c r="C3" s="67" t="s">
        <v>236</v>
      </c>
      <c r="D3" s="67" t="s">
        <v>237</v>
      </c>
      <c r="F3" t="s">
        <v>42</v>
      </c>
      <c r="G3">
        <v>2300</v>
      </c>
      <c r="J3" s="110"/>
      <c r="K3" s="110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Y3" s="101" t="s">
        <v>26</v>
      </c>
      <c r="Z3" s="101" t="s">
        <v>27</v>
      </c>
      <c r="AA3" s="102" t="s">
        <v>5</v>
      </c>
      <c r="AB3" s="102" t="s">
        <v>7</v>
      </c>
      <c r="AC3" s="102" t="s">
        <v>9</v>
      </c>
      <c r="AD3" s="102" t="s">
        <v>11</v>
      </c>
      <c r="AE3" s="102" t="s">
        <v>13</v>
      </c>
      <c r="AF3" s="102" t="s">
        <v>15</v>
      </c>
      <c r="AG3" s="102" t="s">
        <v>17</v>
      </c>
      <c r="AH3" s="102" t="s">
        <v>19</v>
      </c>
      <c r="AI3" s="102" t="s">
        <v>21</v>
      </c>
      <c r="AJ3" s="102" t="s">
        <v>23</v>
      </c>
      <c r="AK3" s="102" t="s">
        <v>28</v>
      </c>
    </row>
    <row r="4" spans="2:37" x14ac:dyDescent="0.3">
      <c r="B4" s="100" t="s">
        <v>5</v>
      </c>
      <c r="C4" s="67">
        <v>42</v>
      </c>
      <c r="D4" s="67">
        <v>37.392930934988158</v>
      </c>
      <c r="F4" t="s">
        <v>73</v>
      </c>
      <c r="G4">
        <f>G5*G6</f>
        <v>13.9748</v>
      </c>
      <c r="J4" s="110"/>
      <c r="Y4" s="101" t="s">
        <v>32</v>
      </c>
      <c r="Z4" s="105"/>
      <c r="AA4" s="105">
        <v>38</v>
      </c>
      <c r="AB4" s="105">
        <v>38</v>
      </c>
      <c r="AC4" s="105">
        <v>40</v>
      </c>
      <c r="AD4" s="105">
        <v>45</v>
      </c>
      <c r="AE4" s="105">
        <v>44</v>
      </c>
      <c r="AF4" s="105">
        <v>44</v>
      </c>
      <c r="AG4" s="105">
        <v>43</v>
      </c>
      <c r="AH4" s="105">
        <v>41</v>
      </c>
      <c r="AI4" s="105">
        <v>41</v>
      </c>
      <c r="AJ4" s="105">
        <v>44</v>
      </c>
      <c r="AK4" s="105">
        <v>42</v>
      </c>
    </row>
    <row r="5" spans="2:37" x14ac:dyDescent="0.3">
      <c r="B5" s="100" t="s">
        <v>7</v>
      </c>
      <c r="C5" s="67">
        <v>56</v>
      </c>
      <c r="D5" s="67">
        <v>37.853637841489345</v>
      </c>
      <c r="F5" t="s">
        <v>3</v>
      </c>
      <c r="G5">
        <v>0.46</v>
      </c>
      <c r="J5" s="110"/>
      <c r="Y5" s="101" t="s">
        <v>35</v>
      </c>
      <c r="Z5" s="105">
        <v>38</v>
      </c>
      <c r="AA5" s="105">
        <v>38</v>
      </c>
      <c r="AB5" s="105">
        <v>40</v>
      </c>
      <c r="AC5" s="105">
        <v>45</v>
      </c>
      <c r="AD5" s="105">
        <v>44</v>
      </c>
      <c r="AE5" s="105">
        <v>44</v>
      </c>
      <c r="AF5" s="105">
        <v>43</v>
      </c>
      <c r="AG5" s="105">
        <v>41</v>
      </c>
      <c r="AH5" s="105">
        <v>41</v>
      </c>
      <c r="AI5" s="105">
        <v>44</v>
      </c>
      <c r="AJ5" s="105">
        <v>42</v>
      </c>
      <c r="AK5" s="105"/>
    </row>
    <row r="6" spans="2:37" x14ac:dyDescent="0.3">
      <c r="B6" s="100" t="s">
        <v>9</v>
      </c>
      <c r="C6" s="67">
        <v>85</v>
      </c>
      <c r="D6" s="67">
        <v>39.668274057340412</v>
      </c>
      <c r="F6" t="s">
        <v>70</v>
      </c>
      <c r="G6">
        <v>30.38</v>
      </c>
      <c r="J6" s="110"/>
      <c r="S6" s="118" t="s">
        <v>40</v>
      </c>
      <c r="Y6" s="101" t="s">
        <v>40</v>
      </c>
      <c r="Z6" s="105">
        <v>120</v>
      </c>
      <c r="AA6" s="105">
        <v>0</v>
      </c>
      <c r="AB6" s="105">
        <v>0</v>
      </c>
      <c r="AC6" s="105">
        <v>120</v>
      </c>
      <c r="AD6" s="105">
        <v>0</v>
      </c>
      <c r="AE6" s="105">
        <v>120</v>
      </c>
      <c r="AF6" s="105">
        <v>0</v>
      </c>
      <c r="AG6" s="105">
        <v>0</v>
      </c>
      <c r="AH6" s="105">
        <v>120</v>
      </c>
      <c r="AI6" s="105">
        <v>0</v>
      </c>
      <c r="AJ6" s="105">
        <v>0</v>
      </c>
      <c r="AK6" s="105"/>
    </row>
    <row r="7" spans="2:37" x14ac:dyDescent="0.3">
      <c r="B7" s="100" t="s">
        <v>11</v>
      </c>
      <c r="C7" s="67">
        <v>40</v>
      </c>
      <c r="D7" s="67">
        <v>44.201446651606375</v>
      </c>
      <c r="F7" t="s">
        <v>38</v>
      </c>
      <c r="G7">
        <f>ROUNDUP(SQRT(2*G3*D15/G4),0)</f>
        <v>117</v>
      </c>
      <c r="J7" s="110"/>
      <c r="Y7" s="101" t="s">
        <v>43</v>
      </c>
      <c r="Z7" s="105"/>
      <c r="AA7" s="105">
        <v>120</v>
      </c>
      <c r="AB7" s="105">
        <v>0</v>
      </c>
      <c r="AC7" s="105">
        <v>0</v>
      </c>
      <c r="AD7" s="105">
        <v>120</v>
      </c>
      <c r="AE7" s="105">
        <v>0</v>
      </c>
      <c r="AF7" s="105">
        <v>120</v>
      </c>
      <c r="AG7" s="105">
        <v>0</v>
      </c>
      <c r="AH7" s="105">
        <v>0</v>
      </c>
      <c r="AI7" s="105">
        <v>120</v>
      </c>
      <c r="AJ7" s="105">
        <v>120</v>
      </c>
      <c r="AK7" s="105">
        <v>0</v>
      </c>
    </row>
    <row r="8" spans="2:37" x14ac:dyDescent="0.3">
      <c r="B8" s="100" t="s">
        <v>13</v>
      </c>
      <c r="C8" s="67">
        <v>45</v>
      </c>
      <c r="D8" s="67">
        <v>43.78130198644574</v>
      </c>
      <c r="J8" s="110"/>
      <c r="Y8" s="101" t="s">
        <v>45</v>
      </c>
      <c r="Z8" s="105"/>
      <c r="AA8" s="105">
        <f>Z6-AA4</f>
        <v>82</v>
      </c>
      <c r="AB8" s="105">
        <f t="shared" ref="AB8:AK8" si="0">AA6+AA8-AB4</f>
        <v>44</v>
      </c>
      <c r="AC8" s="105">
        <f t="shared" si="0"/>
        <v>4</v>
      </c>
      <c r="AD8" s="105">
        <f t="shared" si="0"/>
        <v>79</v>
      </c>
      <c r="AE8" s="105">
        <f t="shared" si="0"/>
        <v>35</v>
      </c>
      <c r="AF8" s="105">
        <f t="shared" si="0"/>
        <v>111</v>
      </c>
      <c r="AG8" s="105">
        <f t="shared" si="0"/>
        <v>68</v>
      </c>
      <c r="AH8" s="105">
        <f t="shared" si="0"/>
        <v>27</v>
      </c>
      <c r="AI8" s="105">
        <f t="shared" si="0"/>
        <v>106</v>
      </c>
      <c r="AJ8" s="105">
        <f t="shared" si="0"/>
        <v>62</v>
      </c>
      <c r="AK8" s="105">
        <f t="shared" si="0"/>
        <v>20</v>
      </c>
    </row>
    <row r="9" spans="2:37" x14ac:dyDescent="0.3">
      <c r="B9" s="100" t="s">
        <v>15</v>
      </c>
      <c r="C9" s="67">
        <v>28</v>
      </c>
      <c r="D9" s="67">
        <v>43.90317178780117</v>
      </c>
    </row>
    <row r="10" spans="2:37" x14ac:dyDescent="0.3">
      <c r="B10" s="100" t="s">
        <v>17</v>
      </c>
      <c r="C10" s="67">
        <v>25</v>
      </c>
      <c r="D10" s="67">
        <v>42.312854609021052</v>
      </c>
      <c r="Y10" s="101" t="s">
        <v>129</v>
      </c>
      <c r="Z10" s="105">
        <f>4*G3</f>
        <v>9200</v>
      </c>
    </row>
    <row r="11" spans="2:37" x14ac:dyDescent="0.3">
      <c r="B11" s="100" t="s">
        <v>19</v>
      </c>
      <c r="C11" s="67">
        <v>44</v>
      </c>
      <c r="D11" s="67">
        <v>40.581569148118945</v>
      </c>
      <c r="Y11" s="101" t="s">
        <v>149</v>
      </c>
      <c r="Z11" s="105">
        <f>SUM(AA8:AK8)*G4</f>
        <v>8915.9223999999995</v>
      </c>
    </row>
    <row r="12" spans="2:37" x14ac:dyDescent="0.3">
      <c r="B12" s="100" t="s">
        <v>21</v>
      </c>
      <c r="C12" s="67">
        <v>68</v>
      </c>
      <c r="D12" s="67">
        <v>40.923412233307047</v>
      </c>
      <c r="Y12" s="101" t="s">
        <v>133</v>
      </c>
      <c r="Z12" s="105">
        <f>SUM(Z10:Z11)</f>
        <v>18115.922399999999</v>
      </c>
    </row>
    <row r="13" spans="2:37" x14ac:dyDescent="0.3">
      <c r="B13" s="100" t="s">
        <v>23</v>
      </c>
      <c r="C13" s="67">
        <v>21</v>
      </c>
      <c r="D13" s="67">
        <v>43.631071009976338</v>
      </c>
    </row>
    <row r="14" spans="2:37" x14ac:dyDescent="0.3">
      <c r="B14" s="100" t="s">
        <v>28</v>
      </c>
      <c r="C14" s="67">
        <v>36</v>
      </c>
      <c r="D14" s="67">
        <v>41.367963908978709</v>
      </c>
    </row>
    <row r="15" spans="2:37" x14ac:dyDescent="0.3">
      <c r="C15" s="13" t="s">
        <v>244</v>
      </c>
      <c r="D15" s="13">
        <f>AVERAGE(D4:D14)</f>
        <v>41.419784924461204</v>
      </c>
    </row>
    <row r="16" spans="2:37" x14ac:dyDescent="0.3">
      <c r="D16" t="s">
        <v>245</v>
      </c>
    </row>
    <row r="17" spans="4:37" x14ac:dyDescent="0.3">
      <c r="D17">
        <f>ROUNDUP(D4,0)</f>
        <v>38</v>
      </c>
      <c r="AA17">
        <v>1</v>
      </c>
      <c r="AB17">
        <v>2</v>
      </c>
      <c r="AC17">
        <v>3</v>
      </c>
      <c r="AD17">
        <v>4</v>
      </c>
      <c r="AE17">
        <v>5</v>
      </c>
      <c r="AF17">
        <v>6</v>
      </c>
      <c r="AG17">
        <v>7</v>
      </c>
      <c r="AH17">
        <v>8</v>
      </c>
      <c r="AI17">
        <v>9</v>
      </c>
      <c r="AJ17">
        <v>10</v>
      </c>
      <c r="AK17">
        <v>11</v>
      </c>
    </row>
    <row r="18" spans="4:37" x14ac:dyDescent="0.3">
      <c r="D18">
        <f t="shared" ref="D18:D27" si="1">ROUNDUP(D5,0)</f>
        <v>38</v>
      </c>
      <c r="Y18" s="148" t="s">
        <v>246</v>
      </c>
      <c r="Z18" s="107" t="s">
        <v>163</v>
      </c>
      <c r="AA18" s="18">
        <v>38</v>
      </c>
      <c r="AB18" s="18">
        <v>38</v>
      </c>
      <c r="AC18" s="18">
        <v>40</v>
      </c>
      <c r="AD18" s="18">
        <v>45</v>
      </c>
      <c r="AE18" s="18">
        <v>44</v>
      </c>
      <c r="AF18" s="18">
        <v>44</v>
      </c>
      <c r="AG18" s="18">
        <v>43</v>
      </c>
      <c r="AH18" s="18">
        <v>41</v>
      </c>
      <c r="AI18" s="18">
        <v>41</v>
      </c>
      <c r="AJ18" s="18">
        <v>44</v>
      </c>
      <c r="AK18" s="18">
        <v>42</v>
      </c>
    </row>
    <row r="19" spans="4:37" x14ac:dyDescent="0.3">
      <c r="D19">
        <f t="shared" si="1"/>
        <v>40</v>
      </c>
      <c r="Y19" s="108"/>
      <c r="Z19" s="18" t="s">
        <v>165</v>
      </c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4:37" x14ac:dyDescent="0.3">
      <c r="D20">
        <f t="shared" si="1"/>
        <v>45</v>
      </c>
      <c r="Y20" s="108"/>
      <c r="Z20" s="18" t="s">
        <v>82</v>
      </c>
      <c r="AA20" s="18">
        <v>2300</v>
      </c>
      <c r="AB20" s="18"/>
      <c r="AC20" s="18"/>
      <c r="AD20" s="18"/>
      <c r="AE20" s="18" t="s">
        <v>247</v>
      </c>
      <c r="AF20" s="18" t="s">
        <v>81</v>
      </c>
      <c r="AG20" s="18"/>
      <c r="AH20" s="18"/>
      <c r="AI20" s="18"/>
      <c r="AJ20" s="18"/>
      <c r="AK20" s="18"/>
    </row>
    <row r="21" spans="4:37" x14ac:dyDescent="0.3">
      <c r="D21">
        <f t="shared" si="1"/>
        <v>44</v>
      </c>
      <c r="Y21" s="108"/>
      <c r="Z21" s="18" t="s">
        <v>85</v>
      </c>
      <c r="AA21" s="18">
        <f>(G3+G4*AB18)/2</f>
        <v>1415.5212000000001</v>
      </c>
      <c r="AB21" s="18"/>
      <c r="AC21" s="18"/>
      <c r="AD21" s="18">
        <v>1</v>
      </c>
      <c r="AE21" s="18">
        <f>AA18+AB18+AC18</f>
        <v>116</v>
      </c>
      <c r="AF21" s="19">
        <f>AE21-AA18</f>
        <v>78</v>
      </c>
      <c r="AG21" s="18"/>
      <c r="AH21" s="18" t="s">
        <v>129</v>
      </c>
      <c r="AI21" s="18">
        <f>4*G3</f>
        <v>9200</v>
      </c>
      <c r="AJ21" s="18"/>
      <c r="AK21" s="18"/>
    </row>
    <row r="22" spans="4:37" x14ac:dyDescent="0.3">
      <c r="D22">
        <f t="shared" si="1"/>
        <v>44</v>
      </c>
      <c r="Y22" s="108"/>
      <c r="Z22" s="18" t="s">
        <v>210</v>
      </c>
      <c r="AA22" s="18">
        <f>(G3+G4*AB18+2*G4*AC18)/3</f>
        <v>1316.3421333333333</v>
      </c>
      <c r="AB22" s="18"/>
      <c r="AC22" s="18"/>
      <c r="AD22" s="18">
        <v>2</v>
      </c>
      <c r="AE22" s="18">
        <v>0</v>
      </c>
      <c r="AF22" s="19">
        <f>AF21-AB18</f>
        <v>40</v>
      </c>
      <c r="AG22" s="18"/>
      <c r="AH22" s="18" t="s">
        <v>149</v>
      </c>
      <c r="AI22" s="18">
        <f>SUM(AF21:AF31)*G4</f>
        <v>5799.5420000000004</v>
      </c>
      <c r="AJ22" s="18"/>
      <c r="AK22" s="18"/>
    </row>
    <row r="23" spans="4:37" x14ac:dyDescent="0.3">
      <c r="D23">
        <f t="shared" si="1"/>
        <v>43</v>
      </c>
      <c r="Y23" s="108"/>
      <c r="Z23" s="18" t="s">
        <v>87</v>
      </c>
      <c r="AA23" s="18">
        <f>(G3+G4*AB18+2*G4*AC18+3*G4*AD18)/4</f>
        <v>1458.9061000000002</v>
      </c>
      <c r="AB23" s="18" t="s">
        <v>216</v>
      </c>
      <c r="AC23" s="18"/>
      <c r="AD23" s="18">
        <v>3</v>
      </c>
      <c r="AE23" s="18">
        <v>0</v>
      </c>
      <c r="AF23" s="19">
        <f>AF22-AC18</f>
        <v>0</v>
      </c>
      <c r="AG23" s="18"/>
      <c r="AH23" s="18" t="s">
        <v>133</v>
      </c>
      <c r="AI23" s="18">
        <f>SUM(AI21:AI22)</f>
        <v>14999.542000000001</v>
      </c>
      <c r="AJ23" s="18"/>
      <c r="AK23" s="18"/>
    </row>
    <row r="24" spans="4:37" x14ac:dyDescent="0.3">
      <c r="D24">
        <f t="shared" si="1"/>
        <v>41</v>
      </c>
      <c r="S24" s="106" t="s">
        <v>246</v>
      </c>
      <c r="Y24" s="108"/>
      <c r="Z24" s="18"/>
      <c r="AA24" s="18"/>
      <c r="AB24" s="18" t="s">
        <v>248</v>
      </c>
      <c r="AC24" s="18"/>
      <c r="AD24" s="18">
        <v>4</v>
      </c>
      <c r="AE24" s="18">
        <f>SUM(AD18:AF18)</f>
        <v>133</v>
      </c>
      <c r="AF24" s="19">
        <f>AE24-AD18</f>
        <v>88</v>
      </c>
      <c r="AG24" s="18"/>
      <c r="AH24" s="18"/>
      <c r="AI24" s="18"/>
      <c r="AJ24" s="18"/>
      <c r="AK24" s="18"/>
    </row>
    <row r="25" spans="4:37" x14ac:dyDescent="0.3">
      <c r="D25">
        <f t="shared" si="1"/>
        <v>41</v>
      </c>
      <c r="Y25" s="108"/>
      <c r="Z25" s="18"/>
      <c r="AA25" s="18"/>
      <c r="AB25" s="18"/>
      <c r="AC25" s="18"/>
      <c r="AD25" s="18">
        <v>5</v>
      </c>
      <c r="AE25" s="18">
        <v>0</v>
      </c>
      <c r="AF25" s="19">
        <f>AF24-AE18</f>
        <v>44</v>
      </c>
      <c r="AG25" s="18"/>
      <c r="AH25" s="18"/>
      <c r="AI25" s="18"/>
      <c r="AJ25" s="18"/>
      <c r="AK25" s="18"/>
    </row>
    <row r="26" spans="4:37" x14ac:dyDescent="0.3">
      <c r="D26">
        <f t="shared" si="1"/>
        <v>44</v>
      </c>
      <c r="Y26" s="108"/>
      <c r="Z26" s="18"/>
      <c r="AA26" s="18"/>
      <c r="AB26" s="18"/>
      <c r="AC26" s="18"/>
      <c r="AD26" s="18">
        <v>6</v>
      </c>
      <c r="AE26" s="18">
        <v>0</v>
      </c>
      <c r="AF26" s="19">
        <f>AF25-AF18</f>
        <v>0</v>
      </c>
      <c r="AG26" s="18"/>
      <c r="AH26" s="18"/>
      <c r="AI26" s="18"/>
      <c r="AJ26" s="18"/>
      <c r="AK26" s="18"/>
    </row>
    <row r="27" spans="4:37" x14ac:dyDescent="0.3">
      <c r="D27">
        <f t="shared" si="1"/>
        <v>42</v>
      </c>
      <c r="Y27" s="108"/>
      <c r="Z27" s="18" t="s">
        <v>82</v>
      </c>
      <c r="AA27" s="18">
        <v>2300</v>
      </c>
      <c r="AB27" s="18"/>
      <c r="AC27" s="18"/>
      <c r="AD27" s="18">
        <v>7</v>
      </c>
      <c r="AE27" s="18">
        <f>SUM(AG18:AI18)</f>
        <v>125</v>
      </c>
      <c r="AF27" s="19">
        <f>AE27-AG18</f>
        <v>82</v>
      </c>
      <c r="AG27" s="18"/>
      <c r="AH27" s="18"/>
      <c r="AI27" s="18"/>
      <c r="AJ27" s="18"/>
      <c r="AK27" s="18"/>
    </row>
    <row r="28" spans="4:37" x14ac:dyDescent="0.3">
      <c r="D28">
        <f>AVERAGE(D17:D27)</f>
        <v>41.81818181818182</v>
      </c>
      <c r="Y28" s="108"/>
      <c r="Z28" s="18" t="s">
        <v>85</v>
      </c>
      <c r="AA28" s="18">
        <f>(G3+G4*AE18)/2</f>
        <v>1457.4456</v>
      </c>
      <c r="AB28" s="18"/>
      <c r="AC28" s="18"/>
      <c r="AD28" s="18">
        <v>8</v>
      </c>
      <c r="AE28" s="18">
        <v>0</v>
      </c>
      <c r="AF28" s="19">
        <f>AF27-AH18</f>
        <v>41</v>
      </c>
      <c r="AG28" s="18"/>
      <c r="AH28" s="18"/>
      <c r="AI28" s="18"/>
      <c r="AJ28" s="18"/>
      <c r="AK28" s="18"/>
    </row>
    <row r="29" spans="4:37" x14ac:dyDescent="0.3">
      <c r="Y29" s="108"/>
      <c r="Z29" s="18" t="s">
        <v>210</v>
      </c>
      <c r="AA29" s="18">
        <f>(G3+G4*AE18+2*G4*AF18)/3</f>
        <v>1381.5578666666668</v>
      </c>
      <c r="AB29" s="18"/>
      <c r="AC29" s="18"/>
      <c r="AD29" s="18">
        <v>9</v>
      </c>
      <c r="AE29" s="18">
        <v>0</v>
      </c>
      <c r="AF29" s="19">
        <f>AF28-AI18</f>
        <v>0</v>
      </c>
      <c r="AG29" s="18"/>
      <c r="AH29" s="18"/>
      <c r="AI29" s="18"/>
      <c r="AJ29" s="18"/>
      <c r="AK29" s="18"/>
    </row>
    <row r="30" spans="4:37" x14ac:dyDescent="0.3">
      <c r="Y30" s="108"/>
      <c r="Z30" s="18" t="s">
        <v>87</v>
      </c>
      <c r="AA30" s="18">
        <f>(G3+1*AE18*G4+2*G4*AF18+3*G4*AG18)/4</f>
        <v>1486.8557000000001</v>
      </c>
      <c r="AB30" s="18" t="s">
        <v>216</v>
      </c>
      <c r="AC30" s="18"/>
      <c r="AD30" s="18">
        <v>10</v>
      </c>
      <c r="AE30" s="18">
        <f>SUM(AJ18:AK18)</f>
        <v>86</v>
      </c>
      <c r="AF30" s="19">
        <f>AE30-AJ18</f>
        <v>42</v>
      </c>
      <c r="AG30" s="18"/>
      <c r="AH30" s="18"/>
      <c r="AI30" s="18"/>
      <c r="AJ30" s="18"/>
      <c r="AK30" s="18"/>
    </row>
    <row r="31" spans="4:37" x14ac:dyDescent="0.3">
      <c r="Y31" s="108"/>
      <c r="Z31" s="18"/>
      <c r="AA31" s="18"/>
      <c r="AB31" s="18" t="s">
        <v>249</v>
      </c>
      <c r="AC31" s="18"/>
      <c r="AD31" s="18">
        <v>11</v>
      </c>
      <c r="AE31" s="18">
        <v>0</v>
      </c>
      <c r="AF31" s="19">
        <f>AF30-AK18</f>
        <v>0</v>
      </c>
      <c r="AG31" s="18"/>
      <c r="AH31" s="18"/>
      <c r="AI31" s="18"/>
      <c r="AJ31" s="18"/>
      <c r="AK31" s="18"/>
    </row>
    <row r="32" spans="4:37" x14ac:dyDescent="0.3">
      <c r="Y32" s="10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</row>
    <row r="33" spans="25:37" x14ac:dyDescent="0.3">
      <c r="Y33" s="10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</row>
    <row r="34" spans="25:37" x14ac:dyDescent="0.3">
      <c r="Y34" s="108"/>
      <c r="Z34" s="18" t="s">
        <v>82</v>
      </c>
      <c r="AA34" s="18">
        <f>G3</f>
        <v>2300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</row>
    <row r="35" spans="25:37" x14ac:dyDescent="0.3">
      <c r="Y35" s="108"/>
      <c r="Z35" s="18" t="s">
        <v>85</v>
      </c>
      <c r="AA35" s="18">
        <f>(G3+1*G4*AH18)/2</f>
        <v>1436.4834000000001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</row>
    <row r="36" spans="25:37" x14ac:dyDescent="0.3">
      <c r="Y36" s="108"/>
      <c r="Z36" s="18" t="s">
        <v>210</v>
      </c>
      <c r="AA36" s="18">
        <f>(G3+1*G4*AH18+2*G4*AI18)/3</f>
        <v>1339.6334666666669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</row>
    <row r="37" spans="25:37" x14ac:dyDescent="0.3">
      <c r="Y37" s="108"/>
      <c r="Z37" s="18" t="s">
        <v>87</v>
      </c>
      <c r="AA37" s="18">
        <f>(G3+1*G4*AH18+2*G4*AI18+3*G4*AJ18)/4</f>
        <v>1465.8935000000001</v>
      </c>
      <c r="AB37" s="18" t="s">
        <v>216</v>
      </c>
      <c r="AC37" s="18"/>
      <c r="AD37" s="18"/>
      <c r="AE37" s="18"/>
      <c r="AF37" s="18"/>
      <c r="AG37" s="18"/>
      <c r="AH37" s="18"/>
      <c r="AI37" s="18"/>
      <c r="AJ37" s="18"/>
      <c r="AK37" s="18"/>
    </row>
    <row r="38" spans="25:37" x14ac:dyDescent="0.3">
      <c r="Y38" s="108"/>
      <c r="Z38" s="18"/>
      <c r="AA38" s="18"/>
      <c r="AB38" s="18" t="s">
        <v>250</v>
      </c>
      <c r="AC38" s="18"/>
      <c r="AD38" s="18"/>
      <c r="AE38" s="18"/>
      <c r="AF38" s="18"/>
      <c r="AG38" s="18"/>
      <c r="AH38" s="18"/>
      <c r="AI38" s="18"/>
      <c r="AJ38" s="18"/>
      <c r="AK38" s="18"/>
    </row>
    <row r="39" spans="25:37" x14ac:dyDescent="0.3">
      <c r="Y39" s="10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spans="25:37" x14ac:dyDescent="0.3">
      <c r="Y40" s="10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 spans="25:37" x14ac:dyDescent="0.3">
      <c r="Y41" s="108"/>
      <c r="Z41" s="18" t="s">
        <v>82</v>
      </c>
      <c r="AA41" s="18">
        <f>G3</f>
        <v>2300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spans="25:37" x14ac:dyDescent="0.3">
      <c r="Y42" s="108"/>
      <c r="Z42" s="18" t="s">
        <v>85</v>
      </c>
      <c r="AA42" s="18">
        <f>(G3+1*G4*AK18)/2</f>
        <v>1443.4708000000001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 spans="25:37" x14ac:dyDescent="0.3">
      <c r="Y43" s="10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</row>
    <row r="44" spans="25:37" x14ac:dyDescent="0.3">
      <c r="Y44" s="10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51" spans="19:38" x14ac:dyDescent="0.3">
      <c r="Y51" s="105"/>
      <c r="Z51" s="105"/>
      <c r="AA51" s="105">
        <v>1</v>
      </c>
      <c r="AB51" s="105">
        <v>2</v>
      </c>
      <c r="AC51" s="105">
        <v>3</v>
      </c>
      <c r="AD51" s="105">
        <v>4</v>
      </c>
      <c r="AE51" s="105">
        <v>5</v>
      </c>
      <c r="AF51" s="105">
        <v>6</v>
      </c>
      <c r="AG51" s="105">
        <v>7</v>
      </c>
      <c r="AH51" s="105">
        <v>8</v>
      </c>
      <c r="AI51" s="105">
        <v>9</v>
      </c>
      <c r="AJ51" s="105">
        <v>10</v>
      </c>
      <c r="AK51" s="105">
        <v>11</v>
      </c>
      <c r="AL51" s="105"/>
    </row>
    <row r="52" spans="19:38" x14ac:dyDescent="0.3">
      <c r="Y52" s="105" t="s">
        <v>96</v>
      </c>
      <c r="Z52" s="145" t="s">
        <v>78</v>
      </c>
      <c r="AA52" s="105">
        <v>38</v>
      </c>
      <c r="AB52" s="105">
        <v>38</v>
      </c>
      <c r="AC52" s="105">
        <v>40</v>
      </c>
      <c r="AD52" s="105">
        <v>45</v>
      </c>
      <c r="AE52" s="105">
        <v>44</v>
      </c>
      <c r="AF52" s="105">
        <v>44</v>
      </c>
      <c r="AG52" s="105">
        <v>43</v>
      </c>
      <c r="AH52" s="105">
        <v>41</v>
      </c>
      <c r="AI52" s="105">
        <v>41</v>
      </c>
      <c r="AJ52" s="105">
        <v>44</v>
      </c>
      <c r="AK52" s="105">
        <v>42</v>
      </c>
      <c r="AL52" s="105"/>
    </row>
    <row r="53" spans="19:38" x14ac:dyDescent="0.3">
      <c r="Y53" s="105"/>
      <c r="Z53" s="105" t="s">
        <v>165</v>
      </c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</row>
    <row r="54" spans="19:38" x14ac:dyDescent="0.3">
      <c r="U54" t="s">
        <v>42</v>
      </c>
      <c r="V54">
        <v>2300</v>
      </c>
      <c r="Y54" s="105"/>
      <c r="Z54" s="105" t="s">
        <v>191</v>
      </c>
      <c r="AA54" s="105">
        <f>V54/AA52</f>
        <v>60.526315789473685</v>
      </c>
      <c r="AB54" s="105"/>
      <c r="AC54" s="105"/>
      <c r="AD54" s="105"/>
      <c r="AE54" s="105"/>
      <c r="AF54" s="147"/>
      <c r="AG54" s="105"/>
      <c r="AH54" s="105"/>
      <c r="AI54" s="105"/>
      <c r="AJ54" s="105"/>
      <c r="AK54" s="105"/>
      <c r="AL54" s="105"/>
    </row>
    <row r="55" spans="19:38" x14ac:dyDescent="0.3">
      <c r="S55" s="105" t="s">
        <v>96</v>
      </c>
      <c r="U55" t="s">
        <v>73</v>
      </c>
      <c r="V55">
        <f>V56*V57</f>
        <v>13.9748</v>
      </c>
      <c r="Y55" s="105"/>
      <c r="Z55" s="105" t="s">
        <v>200</v>
      </c>
      <c r="AA55" s="105">
        <f>(V54+V55*AB52)/SUM(AA52:AB52)</f>
        <v>37.250557894736843</v>
      </c>
      <c r="AB55" s="105"/>
      <c r="AC55" s="105" t="s">
        <v>216</v>
      </c>
      <c r="AD55" s="105"/>
      <c r="AE55" s="105"/>
      <c r="AF55" s="105" t="s">
        <v>247</v>
      </c>
      <c r="AG55" s="105" t="s">
        <v>81</v>
      </c>
      <c r="AH55" s="105"/>
      <c r="AI55" s="105"/>
      <c r="AJ55" s="105" t="s">
        <v>129</v>
      </c>
      <c r="AK55" s="105">
        <f>V54*4</f>
        <v>9200</v>
      </c>
      <c r="AL55" s="105"/>
    </row>
    <row r="56" spans="19:38" x14ac:dyDescent="0.3">
      <c r="U56" t="s">
        <v>3</v>
      </c>
      <c r="V56">
        <v>0.46</v>
      </c>
      <c r="Y56" s="105"/>
      <c r="Z56" s="105" t="s">
        <v>210</v>
      </c>
      <c r="AA56" s="105">
        <f>(V54+V55*AB52+2*V55*AC52)/SUM(AA52:AC52)</f>
        <v>34.043331034482762</v>
      </c>
      <c r="AB56" s="105"/>
      <c r="AC56" s="105" t="s">
        <v>248</v>
      </c>
      <c r="AD56" s="105"/>
      <c r="AE56" s="105">
        <v>1</v>
      </c>
      <c r="AF56" s="147">
        <f>SUM(AA52:AC52)</f>
        <v>116</v>
      </c>
      <c r="AG56" s="105">
        <f>AF56-AA52</f>
        <v>78</v>
      </c>
      <c r="AH56" s="105"/>
      <c r="AI56" s="105"/>
      <c r="AJ56" s="105" t="s">
        <v>149</v>
      </c>
      <c r="AK56" s="105">
        <f>SUM(AG56:AG66)*V55</f>
        <v>5799.5420000000004</v>
      </c>
      <c r="AL56" s="105"/>
    </row>
    <row r="57" spans="19:38" x14ac:dyDescent="0.3">
      <c r="U57" t="s">
        <v>70</v>
      </c>
      <c r="V57">
        <v>30.38</v>
      </c>
      <c r="Y57" s="105"/>
      <c r="Z57" s="105" t="s">
        <v>215</v>
      </c>
      <c r="AA57" s="105">
        <f>(V54+V55*AB52+2*V55*AC52+3*V55*AD52)/SUM(AA52:AD52)</f>
        <v>36.246114285714292</v>
      </c>
      <c r="AB57" s="105"/>
      <c r="AC57" s="105"/>
      <c r="AD57" s="105"/>
      <c r="AE57" s="105">
        <v>2</v>
      </c>
      <c r="AF57" s="147">
        <v>0</v>
      </c>
      <c r="AG57" s="105">
        <f>AG56-AB52</f>
        <v>40</v>
      </c>
      <c r="AH57" s="105"/>
      <c r="AI57" s="105"/>
      <c r="AJ57" s="105" t="s">
        <v>133</v>
      </c>
      <c r="AK57" s="105">
        <f>SUM(AK55:AK56)</f>
        <v>14999.542000000001</v>
      </c>
      <c r="AL57" s="105"/>
    </row>
    <row r="58" spans="19:38" x14ac:dyDescent="0.3">
      <c r="Y58" s="105"/>
      <c r="Z58" s="105"/>
      <c r="AA58" s="105"/>
      <c r="AB58" s="105"/>
      <c r="AC58" s="105"/>
      <c r="AD58" s="105"/>
      <c r="AE58" s="105">
        <v>3</v>
      </c>
      <c r="AF58" s="147">
        <v>0</v>
      </c>
      <c r="AG58" s="105">
        <f>AG57-AC52</f>
        <v>0</v>
      </c>
      <c r="AH58" s="105"/>
      <c r="AI58" s="105"/>
      <c r="AJ58" s="105"/>
      <c r="AK58" s="105"/>
      <c r="AL58" s="105"/>
    </row>
    <row r="59" spans="19:38" x14ac:dyDescent="0.3">
      <c r="Y59" s="105"/>
      <c r="Z59" s="105" t="s">
        <v>191</v>
      </c>
      <c r="AA59" s="105">
        <f>V54/AD52</f>
        <v>51.111111111111114</v>
      </c>
      <c r="AB59" s="105"/>
      <c r="AC59" s="105"/>
      <c r="AD59" s="105"/>
      <c r="AE59" s="105">
        <v>4</v>
      </c>
      <c r="AF59" s="147">
        <f>AD52+AE52</f>
        <v>89</v>
      </c>
      <c r="AG59" s="105">
        <f>AF59-AD52</f>
        <v>44</v>
      </c>
      <c r="AH59" s="105"/>
      <c r="AI59" s="105"/>
      <c r="AJ59" s="105"/>
      <c r="AK59" s="105"/>
      <c r="AL59" s="105"/>
    </row>
    <row r="60" spans="19:38" x14ac:dyDescent="0.3">
      <c r="Y60" s="105"/>
      <c r="Z60" s="105" t="s">
        <v>200</v>
      </c>
      <c r="AA60" s="105">
        <f>(V54+V55*AE51)/SUM(AD52:AE52)</f>
        <v>26.627797752808988</v>
      </c>
      <c r="AB60" s="105"/>
      <c r="AC60" s="105" t="s">
        <v>251</v>
      </c>
      <c r="AD60" s="105"/>
      <c r="AE60" s="105">
        <v>5</v>
      </c>
      <c r="AF60" s="147">
        <v>0</v>
      </c>
      <c r="AG60" s="105">
        <f>AG59-AE52</f>
        <v>0</v>
      </c>
      <c r="AH60" s="105"/>
      <c r="AI60" s="105"/>
      <c r="AJ60" s="105"/>
      <c r="AK60" s="105"/>
      <c r="AL60" s="105"/>
    </row>
    <row r="61" spans="19:38" x14ac:dyDescent="0.3">
      <c r="Y61" s="105"/>
      <c r="Z61" s="105" t="s">
        <v>210</v>
      </c>
      <c r="AA61" s="105">
        <f>(V54+1*V55*AE52+2*V55*AF52)/SUM(AD52:AF52)</f>
        <v>31.162959398496241</v>
      </c>
      <c r="AB61" s="105"/>
      <c r="AC61" s="105" t="s">
        <v>252</v>
      </c>
      <c r="AD61" s="105"/>
      <c r="AE61" s="105">
        <v>6</v>
      </c>
      <c r="AF61" s="147">
        <f>SUM(AF52:AH52)</f>
        <v>128</v>
      </c>
      <c r="AG61" s="105">
        <f>AF61-AF52</f>
        <v>84</v>
      </c>
      <c r="AH61" s="105"/>
      <c r="AI61" s="105"/>
      <c r="AJ61" s="105"/>
      <c r="AK61" s="105"/>
      <c r="AL61" s="105"/>
    </row>
    <row r="62" spans="19:38" x14ac:dyDescent="0.3">
      <c r="Y62" s="105"/>
      <c r="Z62" s="105"/>
      <c r="AA62" s="105"/>
      <c r="AB62" s="105"/>
      <c r="AC62" s="105"/>
      <c r="AD62" s="105"/>
      <c r="AE62" s="105">
        <v>7</v>
      </c>
      <c r="AF62" s="147">
        <v>0</v>
      </c>
      <c r="AG62" s="105">
        <f>AG61-AG52</f>
        <v>41</v>
      </c>
      <c r="AH62" s="105"/>
      <c r="AI62" s="105"/>
      <c r="AJ62" s="105"/>
      <c r="AK62" s="105"/>
      <c r="AL62" s="105"/>
    </row>
    <row r="63" spans="19:38" x14ac:dyDescent="0.3">
      <c r="Y63" s="105"/>
      <c r="Z63" s="105"/>
      <c r="AA63" s="105"/>
      <c r="AB63" s="105"/>
      <c r="AC63" s="105"/>
      <c r="AD63" s="105"/>
      <c r="AE63" s="105">
        <v>8</v>
      </c>
      <c r="AF63" s="147">
        <v>0</v>
      </c>
      <c r="AG63" s="105">
        <f>AG62-AH52</f>
        <v>0</v>
      </c>
      <c r="AH63" s="105"/>
      <c r="AI63" s="105"/>
      <c r="AJ63" s="105"/>
      <c r="AK63" s="105"/>
      <c r="AL63" s="105"/>
    </row>
    <row r="64" spans="19:38" x14ac:dyDescent="0.3">
      <c r="Y64" s="105"/>
      <c r="Z64" s="105" t="s">
        <v>191</v>
      </c>
      <c r="AA64" s="105">
        <f>V54/AF52</f>
        <v>52.272727272727273</v>
      </c>
      <c r="AB64" s="105"/>
      <c r="AC64" s="105"/>
      <c r="AD64" s="105"/>
      <c r="AE64" s="105">
        <v>9</v>
      </c>
      <c r="AF64" s="147">
        <f>SUM(AI52:AK52)</f>
        <v>127</v>
      </c>
      <c r="AG64" s="105">
        <f>AF64-AI52</f>
        <v>86</v>
      </c>
      <c r="AH64" s="105"/>
      <c r="AI64" s="105"/>
      <c r="AJ64" s="105"/>
      <c r="AK64" s="105"/>
      <c r="AL64" s="105"/>
    </row>
    <row r="65" spans="25:38" x14ac:dyDescent="0.3">
      <c r="Y65" s="105"/>
      <c r="Z65" s="105" t="s">
        <v>200</v>
      </c>
      <c r="AA65" s="105">
        <f>(V54+V55*AG52)/SUM(AF52:AG52)</f>
        <v>33.343866666666671</v>
      </c>
      <c r="AB65" s="105"/>
      <c r="AC65" s="105"/>
      <c r="AD65" s="105"/>
      <c r="AE65" s="105">
        <v>10</v>
      </c>
      <c r="AF65" s="105">
        <v>0</v>
      </c>
      <c r="AG65" s="105">
        <f>AG64-AJ52</f>
        <v>42</v>
      </c>
      <c r="AH65" s="105"/>
      <c r="AI65" s="105"/>
      <c r="AJ65" s="105"/>
      <c r="AK65" s="105"/>
      <c r="AL65" s="105"/>
    </row>
    <row r="66" spans="25:38" x14ac:dyDescent="0.3">
      <c r="Y66" s="105"/>
      <c r="Z66" s="105" t="s">
        <v>210</v>
      </c>
      <c r="AA66" s="105">
        <f>(V54+V55*AG52+2*V55*AH52)/SUM(AF52:AH52)</f>
        <v>31.616015625000003</v>
      </c>
      <c r="AB66" s="105"/>
      <c r="AC66" s="105" t="s">
        <v>216</v>
      </c>
      <c r="AD66" s="105"/>
      <c r="AE66" s="105">
        <v>11</v>
      </c>
      <c r="AF66" s="105">
        <v>0</v>
      </c>
      <c r="AG66" s="105">
        <f>AG65-AK52</f>
        <v>0</v>
      </c>
      <c r="AH66" s="105"/>
      <c r="AI66" s="105"/>
      <c r="AJ66" s="105"/>
      <c r="AK66" s="105"/>
      <c r="AL66" s="105"/>
    </row>
    <row r="67" spans="25:38" x14ac:dyDescent="0.3">
      <c r="Y67" s="105"/>
      <c r="Z67" s="105" t="s">
        <v>215</v>
      </c>
      <c r="AA67" s="105">
        <f>(V54+V55*AG52+2*V55*AH52+3*V55*AI52)/SUM(AF52:AI52)</f>
        <v>34.116866272189355</v>
      </c>
      <c r="AB67" s="105"/>
      <c r="AC67" s="105" t="s">
        <v>250</v>
      </c>
      <c r="AD67" s="105"/>
      <c r="AE67" s="105"/>
      <c r="AF67" s="105"/>
      <c r="AG67" s="105"/>
      <c r="AH67" s="105"/>
      <c r="AI67" s="105"/>
      <c r="AJ67" s="105"/>
      <c r="AK67" s="105"/>
      <c r="AL67" s="105"/>
    </row>
    <row r="68" spans="25:38" x14ac:dyDescent="0.3"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</row>
    <row r="69" spans="25:38" x14ac:dyDescent="0.3"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</row>
    <row r="70" spans="25:38" x14ac:dyDescent="0.3">
      <c r="Y70" s="105"/>
      <c r="Z70" s="105" t="s">
        <v>191</v>
      </c>
      <c r="AA70" s="105">
        <f>V54/AI52</f>
        <v>56.097560975609753</v>
      </c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</row>
    <row r="71" spans="25:38" x14ac:dyDescent="0.3">
      <c r="Y71" s="105"/>
      <c r="Z71" s="105" t="s">
        <v>200</v>
      </c>
      <c r="AA71" s="105">
        <f>(V54+V55*AJ52)/SUM(AI52:AJ52)</f>
        <v>34.292837647058825</v>
      </c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</row>
    <row r="72" spans="25:38" x14ac:dyDescent="0.3">
      <c r="Y72" s="105"/>
      <c r="Z72" s="105" t="s">
        <v>210</v>
      </c>
      <c r="AA72" s="105">
        <f>(V54+V55*AJ52+2*V55*AK52)/SUM(AI52:AK52)</f>
        <v>32.195074015748034</v>
      </c>
      <c r="AB72" s="105"/>
      <c r="AC72" s="105" t="s">
        <v>253</v>
      </c>
      <c r="AD72" s="105"/>
      <c r="AE72" s="105"/>
      <c r="AF72" s="105"/>
      <c r="AG72" s="105"/>
      <c r="AH72" s="105"/>
      <c r="AI72" s="105"/>
      <c r="AJ72" s="105"/>
      <c r="AK72" s="105"/>
      <c r="AL72" s="105"/>
    </row>
    <row r="73" spans="25:38" x14ac:dyDescent="0.3"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</row>
    <row r="80" spans="25:38" x14ac:dyDescent="0.3">
      <c r="Y80" s="125"/>
      <c r="Z80" s="125"/>
      <c r="AA80" s="125">
        <v>1</v>
      </c>
      <c r="AB80" s="125">
        <v>2</v>
      </c>
      <c r="AC80" s="125">
        <v>3</v>
      </c>
      <c r="AD80" s="125">
        <v>4</v>
      </c>
      <c r="AE80" s="125">
        <v>5</v>
      </c>
      <c r="AF80" s="125">
        <v>6</v>
      </c>
      <c r="AG80" s="125">
        <v>7</v>
      </c>
      <c r="AH80" s="125">
        <v>8</v>
      </c>
      <c r="AI80" s="125">
        <v>9</v>
      </c>
      <c r="AJ80" s="125">
        <v>10</v>
      </c>
      <c r="AK80" s="125">
        <v>11</v>
      </c>
      <c r="AL80" s="125"/>
    </row>
    <row r="81" spans="19:38" x14ac:dyDescent="0.3">
      <c r="Y81" s="125" t="s">
        <v>164</v>
      </c>
      <c r="Z81" s="126" t="s">
        <v>78</v>
      </c>
      <c r="AA81" s="125">
        <v>38</v>
      </c>
      <c r="AB81" s="125">
        <v>38</v>
      </c>
      <c r="AC81" s="125">
        <v>40</v>
      </c>
      <c r="AD81" s="125">
        <v>45</v>
      </c>
      <c r="AE81" s="125">
        <v>44</v>
      </c>
      <c r="AF81" s="125">
        <v>44</v>
      </c>
      <c r="AG81" s="125">
        <v>43</v>
      </c>
      <c r="AH81" s="125">
        <v>41</v>
      </c>
      <c r="AI81" s="125">
        <v>41</v>
      </c>
      <c r="AJ81" s="125">
        <v>44</v>
      </c>
      <c r="AK81" s="125">
        <v>42</v>
      </c>
      <c r="AL81" s="125"/>
    </row>
    <row r="82" spans="19:38" x14ac:dyDescent="0.3">
      <c r="S82" s="125" t="s">
        <v>164</v>
      </c>
      <c r="U82" t="s">
        <v>42</v>
      </c>
      <c r="V82">
        <v>2300</v>
      </c>
      <c r="Y82" s="125"/>
      <c r="Z82" s="125"/>
      <c r="AA82" s="125"/>
      <c r="AB82" s="125"/>
      <c r="AC82" s="125"/>
      <c r="AD82" s="125"/>
      <c r="AE82" s="125"/>
      <c r="AF82" s="125" t="s">
        <v>247</v>
      </c>
      <c r="AG82" s="125" t="s">
        <v>81</v>
      </c>
      <c r="AH82" s="125"/>
      <c r="AI82" s="125"/>
      <c r="AJ82" s="125"/>
      <c r="AK82" s="125"/>
      <c r="AL82" s="125"/>
    </row>
    <row r="83" spans="19:38" x14ac:dyDescent="0.3">
      <c r="U83" t="s">
        <v>73</v>
      </c>
      <c r="V83">
        <f>V84*V85</f>
        <v>13.9748</v>
      </c>
      <c r="Y83" s="125"/>
      <c r="Z83" s="125" t="s">
        <v>191</v>
      </c>
      <c r="AA83" s="125">
        <v>0</v>
      </c>
      <c r="AB83" s="125"/>
      <c r="AC83" s="125"/>
      <c r="AD83" s="125"/>
      <c r="AE83" s="125">
        <v>1</v>
      </c>
      <c r="AF83" s="125">
        <f>SUM(AA81:AC81)</f>
        <v>116</v>
      </c>
      <c r="AG83" s="125">
        <f>AF83-AA81</f>
        <v>78</v>
      </c>
      <c r="AH83" s="125"/>
      <c r="AI83" s="125"/>
      <c r="AJ83" s="125"/>
      <c r="AK83" s="125"/>
      <c r="AL83" s="125"/>
    </row>
    <row r="84" spans="19:38" x14ac:dyDescent="0.3">
      <c r="U84" t="s">
        <v>3</v>
      </c>
      <c r="V84">
        <v>0.46</v>
      </c>
      <c r="Y84" s="125"/>
      <c r="Z84" s="125" t="s">
        <v>200</v>
      </c>
      <c r="AA84" s="125">
        <f>1*AB81*V83</f>
        <v>531.04240000000004</v>
      </c>
      <c r="AB84" s="125"/>
      <c r="AC84" s="125"/>
      <c r="AD84" s="125"/>
      <c r="AE84" s="125">
        <v>2</v>
      </c>
      <c r="AF84" s="125">
        <v>0</v>
      </c>
      <c r="AG84" s="125">
        <f>AG83-AB81</f>
        <v>40</v>
      </c>
      <c r="AH84" s="125"/>
      <c r="AI84" s="125"/>
      <c r="AJ84" s="125" t="s">
        <v>129</v>
      </c>
      <c r="AK84" s="125">
        <f>4*V82</f>
        <v>9200</v>
      </c>
      <c r="AL84" s="125"/>
    </row>
    <row r="85" spans="19:38" x14ac:dyDescent="0.3">
      <c r="U85" t="s">
        <v>70</v>
      </c>
      <c r="V85">
        <v>30.38</v>
      </c>
      <c r="Y85" s="125"/>
      <c r="Z85" s="125" t="s">
        <v>210</v>
      </c>
      <c r="AA85" s="125">
        <f>1*AB81*V83+2*V83*AC81</f>
        <v>1649.0264</v>
      </c>
      <c r="AB85" s="125" t="s">
        <v>105</v>
      </c>
      <c r="AC85" s="125"/>
      <c r="AD85" s="125"/>
      <c r="AE85" s="125">
        <v>3</v>
      </c>
      <c r="AF85" s="125">
        <v>0</v>
      </c>
      <c r="AG85" s="125">
        <f>AG84-AC81</f>
        <v>0</v>
      </c>
      <c r="AH85" s="125"/>
      <c r="AI85" s="125"/>
      <c r="AJ85" s="125" t="s">
        <v>149</v>
      </c>
      <c r="AK85" s="125">
        <f>SUM(AG83:AG93)*V83</f>
        <v>5799.5420000000004</v>
      </c>
      <c r="AL85" s="125"/>
    </row>
    <row r="86" spans="19:38" x14ac:dyDescent="0.3">
      <c r="Y86" s="125"/>
      <c r="Z86" s="125" t="s">
        <v>215</v>
      </c>
      <c r="AA86" s="125">
        <f>AA85+3*V83*AD81</f>
        <v>3535.6243999999997</v>
      </c>
      <c r="AB86" s="125" t="s">
        <v>126</v>
      </c>
      <c r="AC86" s="125">
        <f>SUM(AA81:AC81)</f>
        <v>116</v>
      </c>
      <c r="AD86" s="125"/>
      <c r="AE86" s="125">
        <v>4</v>
      </c>
      <c r="AF86" s="125">
        <f>SUM(AD81:AF81)</f>
        <v>133</v>
      </c>
      <c r="AG86" s="125">
        <f>AF86-AD81</f>
        <v>88</v>
      </c>
      <c r="AH86" s="125"/>
      <c r="AI86" s="125"/>
      <c r="AJ86" s="125" t="s">
        <v>133</v>
      </c>
      <c r="AK86" s="125">
        <f>SUM(AK84:AK85)</f>
        <v>14999.542000000001</v>
      </c>
      <c r="AL86" s="125"/>
    </row>
    <row r="87" spans="19:38" x14ac:dyDescent="0.3">
      <c r="Y87" s="125"/>
      <c r="Z87" s="125"/>
      <c r="AA87" s="125"/>
      <c r="AB87" s="125"/>
      <c r="AC87" s="125"/>
      <c r="AD87" s="125"/>
      <c r="AE87" s="125">
        <v>5</v>
      </c>
      <c r="AF87" s="125">
        <v>0</v>
      </c>
      <c r="AG87" s="125">
        <f>AG86-AE81</f>
        <v>44</v>
      </c>
      <c r="AH87" s="125"/>
      <c r="AI87" s="125"/>
      <c r="AJ87" s="125"/>
      <c r="AK87" s="125"/>
      <c r="AL87" s="125"/>
    </row>
    <row r="88" spans="19:38" x14ac:dyDescent="0.3">
      <c r="Y88" s="125"/>
      <c r="Z88" s="125" t="s">
        <v>191</v>
      </c>
      <c r="AA88" s="125">
        <f>0</f>
        <v>0</v>
      </c>
      <c r="AB88" s="125"/>
      <c r="AC88" s="125"/>
      <c r="AD88" s="125"/>
      <c r="AE88" s="125">
        <v>6</v>
      </c>
      <c r="AF88" s="125">
        <v>0</v>
      </c>
      <c r="AG88" s="125">
        <f>AG87-AF81</f>
        <v>0</v>
      </c>
      <c r="AH88" s="125"/>
      <c r="AI88" s="125"/>
      <c r="AJ88" s="125"/>
      <c r="AK88" s="125"/>
      <c r="AL88" s="125"/>
    </row>
    <row r="89" spans="19:38" x14ac:dyDescent="0.3">
      <c r="Y89" s="125"/>
      <c r="Z89" s="125" t="s">
        <v>200</v>
      </c>
      <c r="AA89" s="125">
        <f>1*V83*AE81</f>
        <v>614.89120000000003</v>
      </c>
      <c r="AB89" s="125"/>
      <c r="AC89" s="125"/>
      <c r="AD89" s="125"/>
      <c r="AE89" s="125">
        <v>7</v>
      </c>
      <c r="AF89" s="125">
        <f>SUM(AG81:AI81)</f>
        <v>125</v>
      </c>
      <c r="AG89" s="125">
        <f>AF89-AG81</f>
        <v>82</v>
      </c>
      <c r="AH89" s="125"/>
      <c r="AI89" s="125"/>
      <c r="AJ89" s="125"/>
      <c r="AK89" s="125"/>
      <c r="AL89" s="125"/>
    </row>
    <row r="90" spans="19:38" x14ac:dyDescent="0.3">
      <c r="Y90" s="125"/>
      <c r="Z90" s="125" t="s">
        <v>210</v>
      </c>
      <c r="AA90" s="125">
        <f>AA89+2*V83*AF81</f>
        <v>1844.6736000000001</v>
      </c>
      <c r="AB90" s="125" t="s">
        <v>105</v>
      </c>
      <c r="AC90" s="125"/>
      <c r="AD90" s="125"/>
      <c r="AE90" s="125">
        <v>8</v>
      </c>
      <c r="AF90" s="125">
        <v>0</v>
      </c>
      <c r="AG90" s="125">
        <f>AG89-AH81</f>
        <v>41</v>
      </c>
      <c r="AH90" s="125"/>
      <c r="AI90" s="125"/>
      <c r="AJ90" s="125"/>
      <c r="AK90" s="125"/>
      <c r="AL90" s="125"/>
    </row>
    <row r="91" spans="19:38" x14ac:dyDescent="0.3">
      <c r="Y91" s="125"/>
      <c r="Z91" s="125" t="s">
        <v>215</v>
      </c>
      <c r="AA91" s="125">
        <f>AA90+3*V83*AG81</f>
        <v>3647.4228000000003</v>
      </c>
      <c r="AB91" s="125" t="s">
        <v>145</v>
      </c>
      <c r="AC91" s="125">
        <f>SUM(AD81:AF81)</f>
        <v>133</v>
      </c>
      <c r="AD91" s="125"/>
      <c r="AE91" s="125">
        <v>9</v>
      </c>
      <c r="AF91" s="125">
        <v>0</v>
      </c>
      <c r="AG91" s="125">
        <f>AG90-AI81</f>
        <v>0</v>
      </c>
      <c r="AH91" s="125"/>
      <c r="AI91" s="125"/>
      <c r="AJ91" s="125"/>
      <c r="AK91" s="125"/>
      <c r="AL91" s="125"/>
    </row>
    <row r="92" spans="19:38" x14ac:dyDescent="0.3">
      <c r="Y92" s="125"/>
      <c r="Z92" s="125"/>
      <c r="AA92" s="125"/>
      <c r="AB92" s="125"/>
      <c r="AC92" s="125"/>
      <c r="AD92" s="125"/>
      <c r="AE92" s="125">
        <v>10</v>
      </c>
      <c r="AF92" s="125">
        <f>SUM(AJ81:AK81)</f>
        <v>86</v>
      </c>
      <c r="AG92" s="125">
        <f>AF92-AJ81</f>
        <v>42</v>
      </c>
      <c r="AH92" s="125"/>
      <c r="AI92" s="125"/>
      <c r="AJ92" s="125"/>
      <c r="AK92" s="125"/>
      <c r="AL92" s="125"/>
    </row>
    <row r="93" spans="19:38" x14ac:dyDescent="0.3">
      <c r="Y93" s="125"/>
      <c r="Z93" s="125" t="s">
        <v>191</v>
      </c>
      <c r="AA93" s="125">
        <v>0</v>
      </c>
      <c r="AB93" s="125"/>
      <c r="AC93" s="125"/>
      <c r="AD93" s="125"/>
      <c r="AE93" s="125">
        <v>11</v>
      </c>
      <c r="AF93" s="125">
        <v>0</v>
      </c>
      <c r="AG93" s="125">
        <f>AG92-AK81</f>
        <v>0</v>
      </c>
      <c r="AH93" s="125"/>
      <c r="AI93" s="125"/>
      <c r="AJ93" s="125"/>
      <c r="AK93" s="125"/>
      <c r="AL93" s="125"/>
    </row>
    <row r="94" spans="19:38" x14ac:dyDescent="0.3">
      <c r="Y94" s="125"/>
      <c r="Z94" s="125" t="s">
        <v>200</v>
      </c>
      <c r="AA94" s="125">
        <f>1*V83*AH81</f>
        <v>572.96680000000003</v>
      </c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</row>
    <row r="95" spans="19:38" x14ac:dyDescent="0.3">
      <c r="Y95" s="125"/>
      <c r="Z95" s="125" t="s">
        <v>210</v>
      </c>
      <c r="AA95" s="125">
        <f>AA94+2*V83*AI81</f>
        <v>1718.9004</v>
      </c>
      <c r="AB95" s="125" t="s">
        <v>105</v>
      </c>
      <c r="AC95" s="125"/>
      <c r="AD95" s="125"/>
      <c r="AE95" s="125"/>
      <c r="AF95" s="125"/>
      <c r="AG95" s="125"/>
      <c r="AH95" s="125"/>
      <c r="AI95" s="125"/>
      <c r="AJ95" s="125"/>
      <c r="AK95" s="125"/>
      <c r="AL95" s="125"/>
    </row>
    <row r="96" spans="19:38" x14ac:dyDescent="0.3">
      <c r="Y96" s="125"/>
      <c r="Z96" s="125" t="s">
        <v>215</v>
      </c>
      <c r="AA96" s="125">
        <f>AA95+3*V83*AJ81</f>
        <v>3563.5739999999996</v>
      </c>
      <c r="AB96" s="125" t="s">
        <v>170</v>
      </c>
      <c r="AC96" s="125">
        <f>SUM(AG81:AI81)</f>
        <v>125</v>
      </c>
      <c r="AD96" s="125"/>
      <c r="AE96" s="125"/>
      <c r="AF96" s="125"/>
      <c r="AG96" s="125"/>
      <c r="AH96" s="125"/>
      <c r="AI96" s="125"/>
      <c r="AJ96" s="125"/>
      <c r="AK96" s="125"/>
      <c r="AL96" s="125"/>
    </row>
    <row r="97" spans="25:38" x14ac:dyDescent="0.3"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</row>
    <row r="98" spans="25:38" x14ac:dyDescent="0.3">
      <c r="Y98" s="125"/>
      <c r="Z98" s="125" t="s">
        <v>191</v>
      </c>
      <c r="AA98" s="125">
        <f>0</f>
        <v>0</v>
      </c>
      <c r="AB98" s="125"/>
      <c r="AC98" s="125"/>
      <c r="AD98" s="125"/>
      <c r="AE98" s="125"/>
      <c r="AF98" s="125"/>
      <c r="AG98" s="125"/>
      <c r="AH98" s="125"/>
      <c r="AI98" s="125"/>
      <c r="AJ98" s="125"/>
      <c r="AK98" s="125"/>
      <c r="AL98" s="125"/>
    </row>
    <row r="99" spans="25:38" x14ac:dyDescent="0.3">
      <c r="Y99" s="125"/>
      <c r="Z99" s="125" t="s">
        <v>200</v>
      </c>
      <c r="AA99" s="125">
        <f>1*V83*AK81</f>
        <v>586.94159999999999</v>
      </c>
      <c r="AB99" s="125" t="s">
        <v>173</v>
      </c>
      <c r="AC99" s="125">
        <f>SUM(AJ81:AK81)</f>
        <v>86</v>
      </c>
      <c r="AD99" s="125"/>
      <c r="AE99" s="125"/>
      <c r="AF99" s="125"/>
      <c r="AG99" s="125"/>
      <c r="AH99" s="125"/>
      <c r="AI99" s="125"/>
      <c r="AJ99" s="125"/>
      <c r="AK99" s="125"/>
      <c r="AL99" s="125"/>
    </row>
    <row r="100" spans="25:38" x14ac:dyDescent="0.3">
      <c r="Y100" s="125"/>
      <c r="Z100" s="125"/>
      <c r="AA100" s="125"/>
      <c r="AB100" s="125"/>
      <c r="AC100" s="125"/>
      <c r="AD100" s="125"/>
      <c r="AE100" s="125"/>
      <c r="AF100" s="125"/>
      <c r="AG100" s="125"/>
      <c r="AH100" s="125"/>
      <c r="AI100" s="125"/>
      <c r="AJ100" s="125"/>
      <c r="AK100" s="125"/>
      <c r="AL100" s="125"/>
    </row>
    <row r="101" spans="25:38" x14ac:dyDescent="0.3">
      <c r="Y101" s="125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5"/>
      <c r="AL101" s="1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23B1-44CC-4D24-AE36-C115F6612CFE}">
  <dimension ref="B2:AB120"/>
  <sheetViews>
    <sheetView zoomScale="55" zoomScaleNormal="70" workbookViewId="0">
      <selection activeCell="R8" sqref="R8"/>
    </sheetView>
  </sheetViews>
  <sheetFormatPr defaultColWidth="8.77734375" defaultRowHeight="14.4" x14ac:dyDescent="0.3"/>
  <cols>
    <col min="2" max="2" width="10.33203125" bestFit="1" customWidth="1"/>
    <col min="3" max="3" width="17.6640625" bestFit="1" customWidth="1"/>
    <col min="11" max="11" width="24.109375" bestFit="1" customWidth="1"/>
    <col min="15" max="15" width="18.44140625" bestFit="1" customWidth="1"/>
    <col min="16" max="16" width="9.6640625" bestFit="1" customWidth="1"/>
    <col min="18" max="18" width="12" bestFit="1" customWidth="1"/>
    <col min="22" max="22" width="20.33203125" bestFit="1" customWidth="1"/>
    <col min="23" max="23" width="21.109375" bestFit="1" customWidth="1"/>
    <col min="24" max="24" width="12.109375" bestFit="1" customWidth="1"/>
    <col min="25" max="25" width="11" bestFit="1" customWidth="1"/>
    <col min="26" max="26" width="12.109375" bestFit="1" customWidth="1"/>
  </cols>
  <sheetData>
    <row r="2" spans="2:27" x14ac:dyDescent="0.3">
      <c r="B2" t="s">
        <v>254</v>
      </c>
      <c r="C2" t="s">
        <v>236</v>
      </c>
      <c r="D2" t="s">
        <v>237</v>
      </c>
    </row>
    <row r="3" spans="2:27" x14ac:dyDescent="0.3">
      <c r="B3" s="100" t="s">
        <v>5</v>
      </c>
      <c r="C3" s="136">
        <v>33</v>
      </c>
      <c r="D3" s="136">
        <v>36.666666669999998</v>
      </c>
      <c r="F3" s="139" t="s">
        <v>42</v>
      </c>
      <c r="G3" s="139">
        <v>2300</v>
      </c>
      <c r="O3" s="140" t="s">
        <v>26</v>
      </c>
      <c r="P3" s="140" t="s">
        <v>27</v>
      </c>
      <c r="Q3" s="102" t="s">
        <v>5</v>
      </c>
      <c r="R3" s="102" t="s">
        <v>7</v>
      </c>
      <c r="S3" s="102" t="s">
        <v>9</v>
      </c>
      <c r="T3" s="102" t="s">
        <v>11</v>
      </c>
      <c r="U3" s="102" t="s">
        <v>13</v>
      </c>
      <c r="V3" s="102" t="s">
        <v>15</v>
      </c>
      <c r="W3" s="102" t="s">
        <v>17</v>
      </c>
      <c r="X3" s="102" t="s">
        <v>19</v>
      </c>
      <c r="Y3" s="102" t="s">
        <v>21</v>
      </c>
      <c r="Z3" s="102" t="s">
        <v>23</v>
      </c>
      <c r="AA3" s="102" t="s">
        <v>28</v>
      </c>
    </row>
    <row r="4" spans="2:27" x14ac:dyDescent="0.3">
      <c r="B4" s="100" t="s">
        <v>7</v>
      </c>
      <c r="C4" s="136">
        <v>34</v>
      </c>
      <c r="D4" s="136">
        <v>38.833333330000002</v>
      </c>
      <c r="F4" s="139" t="s">
        <v>73</v>
      </c>
      <c r="G4" s="139">
        <f>G5*G6</f>
        <v>17.192499999999999</v>
      </c>
      <c r="O4" s="140" t="s">
        <v>32</v>
      </c>
      <c r="P4" s="105"/>
      <c r="Q4" s="105">
        <v>37</v>
      </c>
      <c r="R4" s="105">
        <v>39</v>
      </c>
      <c r="S4" s="105">
        <v>35</v>
      </c>
      <c r="T4" s="105">
        <v>35</v>
      </c>
      <c r="U4" s="105">
        <v>35</v>
      </c>
      <c r="V4" s="105">
        <v>33</v>
      </c>
      <c r="W4" s="105">
        <v>30</v>
      </c>
      <c r="X4" s="105">
        <v>27</v>
      </c>
      <c r="Y4" s="105">
        <v>25</v>
      </c>
      <c r="Z4" s="105">
        <v>25</v>
      </c>
      <c r="AA4" s="105">
        <v>23</v>
      </c>
    </row>
    <row r="5" spans="2:27" x14ac:dyDescent="0.3">
      <c r="B5" s="100" t="s">
        <v>9</v>
      </c>
      <c r="C5" s="136">
        <v>25</v>
      </c>
      <c r="D5" s="136">
        <v>34.666666669999998</v>
      </c>
      <c r="F5" s="139" t="s">
        <v>3</v>
      </c>
      <c r="G5" s="139">
        <v>0.46</v>
      </c>
      <c r="O5" s="140" t="s">
        <v>35</v>
      </c>
      <c r="P5" s="105">
        <v>37</v>
      </c>
      <c r="Q5" s="105">
        <v>39</v>
      </c>
      <c r="R5" s="105">
        <v>35</v>
      </c>
      <c r="S5" s="105">
        <v>35</v>
      </c>
      <c r="T5" s="105">
        <v>35</v>
      </c>
      <c r="U5" s="105">
        <v>33</v>
      </c>
      <c r="V5" s="105">
        <v>30</v>
      </c>
      <c r="W5" s="105">
        <v>27</v>
      </c>
      <c r="X5" s="105">
        <v>25</v>
      </c>
      <c r="Y5" s="105">
        <v>25</v>
      </c>
      <c r="Z5" s="105">
        <v>23</v>
      </c>
      <c r="AA5" s="105"/>
    </row>
    <row r="6" spans="2:27" x14ac:dyDescent="0.3">
      <c r="B6" s="100" t="s">
        <v>11</v>
      </c>
      <c r="C6" s="136">
        <v>41</v>
      </c>
      <c r="D6" s="136">
        <v>34.666666669999998</v>
      </c>
      <c r="F6" s="139" t="s">
        <v>70</v>
      </c>
      <c r="G6" s="139">
        <v>37.375</v>
      </c>
      <c r="O6" s="140" t="s">
        <v>40</v>
      </c>
      <c r="P6" s="105">
        <v>91</v>
      </c>
      <c r="Q6" s="105">
        <v>0</v>
      </c>
      <c r="R6" s="105">
        <v>91</v>
      </c>
      <c r="S6" s="105">
        <v>0</v>
      </c>
      <c r="T6" s="105">
        <v>0</v>
      </c>
      <c r="U6" s="105">
        <v>91</v>
      </c>
      <c r="V6" s="105">
        <v>0</v>
      </c>
      <c r="W6" s="105">
        <v>0</v>
      </c>
      <c r="X6" s="105">
        <v>91</v>
      </c>
      <c r="Y6" s="105">
        <v>0</v>
      </c>
      <c r="Z6" s="105">
        <v>0</v>
      </c>
      <c r="AA6" s="105"/>
    </row>
    <row r="7" spans="2:27" x14ac:dyDescent="0.3">
      <c r="B7" s="100" t="s">
        <v>13</v>
      </c>
      <c r="C7" s="136">
        <v>32</v>
      </c>
      <c r="D7" s="136">
        <v>34.833333330000002</v>
      </c>
      <c r="F7" s="139" t="s">
        <v>38</v>
      </c>
      <c r="G7" s="139">
        <f>ROUNDUP(SQRT(2*G3*D14/G4),0)</f>
        <v>91</v>
      </c>
      <c r="O7" s="140" t="s">
        <v>43</v>
      </c>
      <c r="P7" s="105"/>
      <c r="Q7" s="105">
        <v>91</v>
      </c>
      <c r="R7" s="105">
        <v>0</v>
      </c>
      <c r="S7" s="105">
        <v>91</v>
      </c>
      <c r="T7" s="105">
        <v>0</v>
      </c>
      <c r="U7" s="105">
        <v>0</v>
      </c>
      <c r="V7" s="105">
        <v>91</v>
      </c>
      <c r="W7" s="105">
        <v>0</v>
      </c>
      <c r="X7" s="105">
        <v>0</v>
      </c>
      <c r="Y7" s="105">
        <v>91</v>
      </c>
      <c r="Z7" s="105">
        <v>0</v>
      </c>
      <c r="AA7" s="105">
        <v>0</v>
      </c>
    </row>
    <row r="8" spans="2:27" x14ac:dyDescent="0.3">
      <c r="B8" s="100" t="s">
        <v>15</v>
      </c>
      <c r="C8" s="136">
        <v>13</v>
      </c>
      <c r="D8" s="136">
        <v>32.833333330000002</v>
      </c>
      <c r="K8" s="118" t="s">
        <v>40</v>
      </c>
      <c r="O8" s="140" t="s">
        <v>45</v>
      </c>
      <c r="P8" s="105"/>
      <c r="Q8" s="105">
        <f>P6-Q4</f>
        <v>54</v>
      </c>
      <c r="R8" s="105">
        <f>Q6+Q8-R4</f>
        <v>15</v>
      </c>
      <c r="S8" s="105">
        <f t="shared" ref="S8:AA8" si="0">R6+R8-S4</f>
        <v>71</v>
      </c>
      <c r="T8" s="105">
        <f t="shared" si="0"/>
        <v>36</v>
      </c>
      <c r="U8" s="105">
        <f t="shared" si="0"/>
        <v>1</v>
      </c>
      <c r="V8" s="105">
        <f t="shared" si="0"/>
        <v>59</v>
      </c>
      <c r="W8" s="105">
        <f t="shared" si="0"/>
        <v>29</v>
      </c>
      <c r="X8" s="105">
        <f t="shared" si="0"/>
        <v>2</v>
      </c>
      <c r="Y8" s="105">
        <f t="shared" si="0"/>
        <v>68</v>
      </c>
      <c r="Z8" s="105">
        <f t="shared" si="0"/>
        <v>43</v>
      </c>
      <c r="AA8" s="105">
        <f t="shared" si="0"/>
        <v>20</v>
      </c>
    </row>
    <row r="9" spans="2:27" x14ac:dyDescent="0.3">
      <c r="B9" s="100" t="s">
        <v>17</v>
      </c>
      <c r="C9" s="136">
        <v>13</v>
      </c>
      <c r="D9" s="136">
        <v>29.666666670000001</v>
      </c>
    </row>
    <row r="10" spans="2:27" x14ac:dyDescent="0.3">
      <c r="B10" s="100" t="s">
        <v>19</v>
      </c>
      <c r="C10" s="136">
        <v>25</v>
      </c>
      <c r="D10" s="136">
        <v>26.333333329999999</v>
      </c>
      <c r="O10" s="140" t="s">
        <v>129</v>
      </c>
      <c r="P10" s="105">
        <f>G3*4</f>
        <v>9200</v>
      </c>
    </row>
    <row r="11" spans="2:27" x14ac:dyDescent="0.3">
      <c r="B11" s="100" t="s">
        <v>21</v>
      </c>
      <c r="C11" s="136">
        <v>22</v>
      </c>
      <c r="D11" s="136">
        <v>24.833333329999999</v>
      </c>
      <c r="O11" s="140" t="s">
        <v>149</v>
      </c>
      <c r="P11" s="105">
        <f>SUM(Q8:AA8)*G4</f>
        <v>6842.6149999999998</v>
      </c>
    </row>
    <row r="12" spans="2:27" x14ac:dyDescent="0.3">
      <c r="B12" s="100" t="s">
        <v>23</v>
      </c>
      <c r="C12" s="136">
        <v>30</v>
      </c>
      <c r="D12" s="136">
        <v>24.333333329999999</v>
      </c>
      <c r="O12" s="140" t="s">
        <v>133</v>
      </c>
      <c r="P12" s="105">
        <f>SUM(P10:P11)</f>
        <v>16042.615</v>
      </c>
    </row>
    <row r="13" spans="2:27" x14ac:dyDescent="0.3">
      <c r="B13" s="100" t="s">
        <v>28</v>
      </c>
      <c r="C13" s="136">
        <v>8</v>
      </c>
      <c r="D13" s="136">
        <v>22.5</v>
      </c>
    </row>
    <row r="14" spans="2:27" x14ac:dyDescent="0.3">
      <c r="C14" t="s">
        <v>255</v>
      </c>
      <c r="D14">
        <f>AVERAGE(D3:D13)</f>
        <v>30.924242423636368</v>
      </c>
    </row>
    <row r="16" spans="2:27" x14ac:dyDescent="0.3">
      <c r="C16" t="s">
        <v>256</v>
      </c>
      <c r="D16">
        <f t="shared" ref="D16:D26" si="1">ROUNDUP(D3,0)</f>
        <v>37</v>
      </c>
    </row>
    <row r="17" spans="4:28" x14ac:dyDescent="0.3">
      <c r="D17">
        <f t="shared" si="1"/>
        <v>39</v>
      </c>
    </row>
    <row r="18" spans="4:28" x14ac:dyDescent="0.3">
      <c r="D18">
        <f t="shared" si="1"/>
        <v>35</v>
      </c>
    </row>
    <row r="19" spans="4:28" x14ac:dyDescent="0.3">
      <c r="D19">
        <f t="shared" si="1"/>
        <v>35</v>
      </c>
    </row>
    <row r="20" spans="4:28" x14ac:dyDescent="0.3">
      <c r="D20">
        <f t="shared" si="1"/>
        <v>35</v>
      </c>
    </row>
    <row r="21" spans="4:28" x14ac:dyDescent="0.3">
      <c r="D21">
        <f t="shared" si="1"/>
        <v>33</v>
      </c>
    </row>
    <row r="22" spans="4:28" x14ac:dyDescent="0.3">
      <c r="D22">
        <f t="shared" si="1"/>
        <v>30</v>
      </c>
      <c r="K22" s="141" t="s">
        <v>246</v>
      </c>
      <c r="N22" s="28"/>
      <c r="O22" s="28"/>
      <c r="P22" s="28"/>
      <c r="Q22" s="28">
        <v>1</v>
      </c>
      <c r="R22" s="28">
        <v>2</v>
      </c>
      <c r="S22" s="28">
        <v>3</v>
      </c>
      <c r="T22" s="28">
        <v>4</v>
      </c>
      <c r="U22" s="28">
        <v>5</v>
      </c>
      <c r="V22" s="28">
        <v>6</v>
      </c>
      <c r="W22" s="28">
        <v>7</v>
      </c>
      <c r="X22" s="28">
        <v>8</v>
      </c>
      <c r="Y22" s="28">
        <v>9</v>
      </c>
      <c r="Z22" s="28">
        <v>10</v>
      </c>
      <c r="AA22" s="28">
        <v>11</v>
      </c>
      <c r="AB22" s="28"/>
    </row>
    <row r="23" spans="4:28" x14ac:dyDescent="0.3">
      <c r="D23">
        <f t="shared" si="1"/>
        <v>27</v>
      </c>
      <c r="N23" s="28"/>
      <c r="O23" s="142" t="s">
        <v>246</v>
      </c>
      <c r="P23" s="143" t="s">
        <v>163</v>
      </c>
      <c r="Q23" s="28">
        <v>38</v>
      </c>
      <c r="R23" s="28">
        <v>38</v>
      </c>
      <c r="S23" s="28">
        <v>40</v>
      </c>
      <c r="T23" s="28">
        <v>45</v>
      </c>
      <c r="U23" s="28">
        <v>44</v>
      </c>
      <c r="V23" s="28">
        <v>44</v>
      </c>
      <c r="W23" s="28">
        <v>43</v>
      </c>
      <c r="X23" s="28">
        <v>41</v>
      </c>
      <c r="Y23" s="28">
        <v>41</v>
      </c>
      <c r="Z23" s="28">
        <v>44</v>
      </c>
      <c r="AA23" s="28">
        <v>42</v>
      </c>
      <c r="AB23" s="28"/>
    </row>
    <row r="24" spans="4:28" x14ac:dyDescent="0.3">
      <c r="D24">
        <f t="shared" si="1"/>
        <v>25</v>
      </c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spans="4:28" x14ac:dyDescent="0.3">
      <c r="D25">
        <f t="shared" si="1"/>
        <v>25</v>
      </c>
      <c r="N25" s="28"/>
      <c r="O25" s="28"/>
      <c r="P25" s="28" t="s">
        <v>191</v>
      </c>
      <c r="Q25" s="28">
        <f>G3</f>
        <v>2300</v>
      </c>
      <c r="R25" s="28"/>
      <c r="S25" s="28"/>
      <c r="T25" s="28"/>
      <c r="U25" s="28"/>
      <c r="V25" s="28" t="s">
        <v>247</v>
      </c>
      <c r="W25" s="28" t="s">
        <v>81</v>
      </c>
      <c r="X25" s="28"/>
      <c r="Y25" s="28"/>
      <c r="Z25" s="28"/>
      <c r="AA25" s="28"/>
      <c r="AB25" s="28"/>
    </row>
    <row r="26" spans="4:28" x14ac:dyDescent="0.3">
      <c r="D26">
        <f t="shared" si="1"/>
        <v>23</v>
      </c>
      <c r="N26" s="28"/>
      <c r="O26" s="28"/>
      <c r="P26" s="28" t="s">
        <v>200</v>
      </c>
      <c r="Q26" s="28">
        <f>(G3+G4*R23)/2</f>
        <v>1476.6575</v>
      </c>
      <c r="R26" s="28"/>
      <c r="S26" s="28"/>
      <c r="T26" s="28"/>
      <c r="U26" s="28">
        <v>1</v>
      </c>
      <c r="V26" s="28">
        <f>SUM(Q23:S23)</f>
        <v>116</v>
      </c>
      <c r="W26" s="28">
        <f>V26-Q23</f>
        <v>78</v>
      </c>
      <c r="X26" s="28"/>
      <c r="Y26" s="28"/>
      <c r="Z26" s="28"/>
      <c r="AA26" s="28"/>
      <c r="AB26" s="28"/>
    </row>
    <row r="27" spans="4:28" x14ac:dyDescent="0.3">
      <c r="N27" s="28"/>
      <c r="O27" s="28"/>
      <c r="P27" s="28" t="s">
        <v>210</v>
      </c>
      <c r="Q27" s="28">
        <f>(G3+1*G4*R23+2*G4*S23)/3</f>
        <v>1442.905</v>
      </c>
      <c r="R27" s="28"/>
      <c r="S27" s="28"/>
      <c r="T27" s="28"/>
      <c r="U27" s="28">
        <v>2</v>
      </c>
      <c r="V27" s="28">
        <v>0</v>
      </c>
      <c r="W27" s="28">
        <f>W26-R23</f>
        <v>40</v>
      </c>
      <c r="X27" s="28"/>
      <c r="Y27" s="28"/>
      <c r="Z27" s="28"/>
      <c r="AA27" s="28"/>
      <c r="AB27" s="28"/>
    </row>
    <row r="28" spans="4:28" x14ac:dyDescent="0.3">
      <c r="N28" s="28"/>
      <c r="O28" s="28"/>
      <c r="P28" s="28" t="s">
        <v>215</v>
      </c>
      <c r="Q28" s="28">
        <f>(G3+1*G4*R23+2*G4*S23+3*G4*T23)/4</f>
        <v>1662.4256250000001</v>
      </c>
      <c r="R28" s="28" t="s">
        <v>216</v>
      </c>
      <c r="S28" s="28"/>
      <c r="T28" s="28"/>
      <c r="U28" s="28">
        <v>3</v>
      </c>
      <c r="V28" s="28">
        <v>0</v>
      </c>
      <c r="W28" s="28">
        <f>W27-S23</f>
        <v>0</v>
      </c>
      <c r="X28" s="28"/>
      <c r="Y28" s="28"/>
      <c r="Z28" s="28"/>
      <c r="AA28" s="28"/>
      <c r="AB28" s="28"/>
    </row>
    <row r="29" spans="4:28" x14ac:dyDescent="0.3">
      <c r="N29" s="28"/>
      <c r="O29" s="28"/>
      <c r="P29" s="28"/>
      <c r="Q29" s="28"/>
      <c r="R29" s="28" t="s">
        <v>248</v>
      </c>
      <c r="S29" s="28">
        <f>SUM(Q23:S23)</f>
        <v>116</v>
      </c>
      <c r="T29" s="28"/>
      <c r="U29" s="28">
        <v>4</v>
      </c>
      <c r="V29" s="28">
        <f>SUM(T23:V23)</f>
        <v>133</v>
      </c>
      <c r="W29" s="28">
        <f>V29-T23</f>
        <v>88</v>
      </c>
      <c r="X29" s="28"/>
      <c r="Y29" s="28"/>
      <c r="Z29" s="28"/>
      <c r="AA29" s="28"/>
      <c r="AB29" s="28"/>
    </row>
    <row r="30" spans="4:28" x14ac:dyDescent="0.3">
      <c r="N30" s="28"/>
      <c r="O30" s="28"/>
      <c r="P30" s="28"/>
      <c r="Q30" s="28"/>
      <c r="R30" s="28"/>
      <c r="S30" s="28"/>
      <c r="T30" s="28"/>
      <c r="U30" s="28">
        <v>5</v>
      </c>
      <c r="V30" s="28">
        <v>0</v>
      </c>
      <c r="W30" s="28">
        <f>W29-U23</f>
        <v>44</v>
      </c>
      <c r="X30" s="28"/>
      <c r="Y30" s="28"/>
      <c r="Z30" s="28"/>
      <c r="AA30" s="28"/>
      <c r="AB30" s="28"/>
    </row>
    <row r="31" spans="4:28" x14ac:dyDescent="0.3">
      <c r="N31" s="28"/>
      <c r="O31" s="28"/>
      <c r="P31" s="28"/>
      <c r="Q31" s="28"/>
      <c r="R31" s="28"/>
      <c r="S31" s="28"/>
      <c r="T31" s="28"/>
      <c r="U31" s="28">
        <v>6</v>
      </c>
      <c r="V31" s="28">
        <v>0</v>
      </c>
      <c r="W31" s="28">
        <f>W30-V23</f>
        <v>0</v>
      </c>
      <c r="X31" s="28"/>
      <c r="Y31" s="28"/>
      <c r="Z31" s="28"/>
      <c r="AA31" s="28"/>
      <c r="AB31" s="28"/>
    </row>
    <row r="32" spans="4:28" x14ac:dyDescent="0.3">
      <c r="N32" s="28"/>
      <c r="O32" s="28"/>
      <c r="P32" s="28" t="s">
        <v>191</v>
      </c>
      <c r="Q32" s="28">
        <f>G3</f>
        <v>2300</v>
      </c>
      <c r="R32" s="28"/>
      <c r="S32" s="28"/>
      <c r="T32" s="28"/>
      <c r="U32" s="28">
        <v>7</v>
      </c>
      <c r="V32" s="28">
        <f>SUM(W23:Y23)</f>
        <v>125</v>
      </c>
      <c r="W32" s="28">
        <f>V32-W23</f>
        <v>82</v>
      </c>
      <c r="X32" s="28"/>
      <c r="Y32" s="28"/>
      <c r="Z32" s="28"/>
      <c r="AA32" s="28"/>
      <c r="AB32" s="28"/>
    </row>
    <row r="33" spans="14:28" x14ac:dyDescent="0.3">
      <c r="N33" s="28"/>
      <c r="O33" s="28"/>
      <c r="P33" s="28" t="s">
        <v>200</v>
      </c>
      <c r="Q33" s="28">
        <f>(G3+1*G4*U23)/2</f>
        <v>1528.2349999999999</v>
      </c>
      <c r="R33" s="28"/>
      <c r="S33" s="28"/>
      <c r="T33" s="28"/>
      <c r="U33" s="28">
        <v>8</v>
      </c>
      <c r="V33" s="28">
        <v>0</v>
      </c>
      <c r="W33" s="28">
        <f>W32-X23</f>
        <v>41</v>
      </c>
      <c r="X33" s="28"/>
      <c r="Y33" s="28"/>
      <c r="Z33" s="28"/>
      <c r="AA33" s="28"/>
      <c r="AB33" s="28"/>
    </row>
    <row r="34" spans="14:28" x14ac:dyDescent="0.3">
      <c r="N34" s="28"/>
      <c r="O34" s="28"/>
      <c r="P34" s="28" t="s">
        <v>210</v>
      </c>
      <c r="Q34" s="28">
        <f>(G3+1*G4*U23+2*G4*V23)/3</f>
        <v>1523.1366666666665</v>
      </c>
      <c r="R34" s="28"/>
      <c r="S34" s="28"/>
      <c r="T34" s="28"/>
      <c r="U34" s="28">
        <v>9</v>
      </c>
      <c r="V34" s="28">
        <v>0</v>
      </c>
      <c r="W34" s="28">
        <f>W33-Y23</f>
        <v>0</v>
      </c>
      <c r="X34" s="28"/>
      <c r="Y34" s="28"/>
      <c r="Z34" s="28"/>
      <c r="AA34" s="28"/>
      <c r="AB34" s="28"/>
    </row>
    <row r="35" spans="14:28" x14ac:dyDescent="0.3">
      <c r="N35" s="28"/>
      <c r="O35" s="28"/>
      <c r="P35" s="28" t="s">
        <v>215</v>
      </c>
      <c r="Q35" s="28">
        <f>(G3+1*G4*U23+2*G4*V23+3*G4*W23)/4</f>
        <v>1696.8106250000001</v>
      </c>
      <c r="R35" s="28" t="s">
        <v>216</v>
      </c>
      <c r="S35" s="28"/>
      <c r="T35" s="28"/>
      <c r="U35" s="28">
        <v>10</v>
      </c>
      <c r="V35" s="28">
        <f>SUM(Z23:AA23)</f>
        <v>86</v>
      </c>
      <c r="W35" s="28">
        <f>V35-Z23</f>
        <v>42</v>
      </c>
      <c r="X35" s="28"/>
      <c r="Y35" s="28"/>
      <c r="Z35" s="28"/>
      <c r="AA35" s="28"/>
      <c r="AB35" s="28"/>
    </row>
    <row r="36" spans="14:28" x14ac:dyDescent="0.3">
      <c r="N36" s="28"/>
      <c r="O36" s="28"/>
      <c r="P36" s="28"/>
      <c r="Q36" s="28"/>
      <c r="R36" s="28" t="s">
        <v>249</v>
      </c>
      <c r="S36" s="28">
        <f>SUM(T23:V23)</f>
        <v>133</v>
      </c>
      <c r="T36" s="28"/>
      <c r="U36" s="28">
        <v>11</v>
      </c>
      <c r="V36" s="28">
        <v>0</v>
      </c>
      <c r="W36" s="28">
        <f>W35-AA23</f>
        <v>0</v>
      </c>
      <c r="X36" s="28"/>
      <c r="Y36" s="28"/>
      <c r="Z36" s="28"/>
      <c r="AA36" s="28"/>
      <c r="AB36" s="28"/>
    </row>
    <row r="37" spans="14:28" x14ac:dyDescent="0.3"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spans="14:28" x14ac:dyDescent="0.3"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spans="14:28" x14ac:dyDescent="0.3">
      <c r="N39" s="28"/>
      <c r="O39" s="28"/>
      <c r="P39" s="28" t="s">
        <v>191</v>
      </c>
      <c r="Q39" s="28">
        <f>G3</f>
        <v>2300</v>
      </c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spans="14:28" x14ac:dyDescent="0.3">
      <c r="N40" s="28"/>
      <c r="O40" s="28"/>
      <c r="P40" s="28" t="s">
        <v>200</v>
      </c>
      <c r="Q40" s="28">
        <f>(G3+1*G4*X23)/2</f>
        <v>1502.44625</v>
      </c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spans="14:28" x14ac:dyDescent="0.3">
      <c r="N41" s="28"/>
      <c r="O41" s="28"/>
      <c r="P41" s="28" t="s">
        <v>210</v>
      </c>
      <c r="Q41" s="28">
        <f>(G3+1*G4*X23+2*G4*Y23)/3</f>
        <v>1471.5591666666667</v>
      </c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spans="14:28" x14ac:dyDescent="0.3">
      <c r="N42" s="28"/>
      <c r="O42" s="28"/>
      <c r="P42" s="28" t="s">
        <v>215</v>
      </c>
      <c r="Q42" s="28">
        <f>(G3+1*G4*X23+2*G4*Y23+3*G4*Z23)/4</f>
        <v>1671.0218749999999</v>
      </c>
      <c r="R42" s="28" t="s">
        <v>216</v>
      </c>
      <c r="S42" s="28"/>
      <c r="T42" s="28"/>
      <c r="U42" s="28"/>
      <c r="V42" s="28"/>
      <c r="W42" s="28"/>
      <c r="X42" s="28"/>
      <c r="Y42" s="142" t="s">
        <v>129</v>
      </c>
      <c r="Z42" s="28">
        <f>G3*4</f>
        <v>9200</v>
      </c>
      <c r="AA42" s="28"/>
      <c r="AB42" s="28"/>
    </row>
    <row r="43" spans="14:28" x14ac:dyDescent="0.3">
      <c r="N43" s="28"/>
      <c r="O43" s="28"/>
      <c r="P43" s="28"/>
      <c r="Q43" s="28"/>
      <c r="R43" s="28" t="s">
        <v>250</v>
      </c>
      <c r="S43" s="28">
        <f>SUM(W23:Y23)</f>
        <v>125</v>
      </c>
      <c r="T43" s="28"/>
      <c r="U43" s="28"/>
      <c r="V43" s="28"/>
      <c r="W43" s="28"/>
      <c r="X43" s="28"/>
      <c r="Y43" s="142" t="s">
        <v>149</v>
      </c>
      <c r="Z43" s="28">
        <f>SUM(W26:W36)*G4</f>
        <v>7134.8874999999998</v>
      </c>
      <c r="AA43" s="28"/>
      <c r="AB43" s="28"/>
    </row>
    <row r="44" spans="14:28" x14ac:dyDescent="0.3"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142" t="s">
        <v>133</v>
      </c>
      <c r="Z44" s="28">
        <f>SUM(Z42:Z43)</f>
        <v>16334.887500000001</v>
      </c>
      <c r="AA44" s="28"/>
      <c r="AB44" s="28"/>
    </row>
    <row r="45" spans="14:28" x14ac:dyDescent="0.3"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spans="14:28" x14ac:dyDescent="0.3">
      <c r="N46" s="28"/>
      <c r="O46" s="28"/>
      <c r="P46" s="28" t="s">
        <v>191</v>
      </c>
      <c r="Q46" s="28">
        <f>G3</f>
        <v>2300</v>
      </c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spans="14:28" x14ac:dyDescent="0.3">
      <c r="N47" s="28"/>
      <c r="O47" s="28"/>
      <c r="P47" s="149" t="s">
        <v>200</v>
      </c>
      <c r="Q47" s="28">
        <f>(G3+1*G4*AA23)/2</f>
        <v>1511.0425</v>
      </c>
      <c r="R47" s="28" t="s">
        <v>257</v>
      </c>
      <c r="S47" s="28">
        <f>SUM(Z23:AA23)</f>
        <v>86</v>
      </c>
      <c r="T47" s="28"/>
      <c r="U47" s="28"/>
      <c r="V47" s="28"/>
      <c r="W47" s="28"/>
      <c r="X47" s="28"/>
      <c r="Y47" s="28"/>
      <c r="Z47" s="28"/>
      <c r="AA47" s="28"/>
      <c r="AB47" s="28"/>
    </row>
    <row r="48" spans="14:28" x14ac:dyDescent="0.3">
      <c r="N48" s="28"/>
      <c r="O48" s="150"/>
      <c r="P48" s="28"/>
      <c r="Q48" s="144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spans="11:27" x14ac:dyDescent="0.3">
      <c r="P49" s="61"/>
    </row>
    <row r="56" spans="11:27" x14ac:dyDescent="0.3">
      <c r="K56" s="105" t="s">
        <v>96</v>
      </c>
      <c r="P56" s="105"/>
      <c r="Q56" s="105">
        <v>1</v>
      </c>
      <c r="R56" s="105">
        <v>2</v>
      </c>
      <c r="S56" s="105">
        <v>3</v>
      </c>
      <c r="T56" s="105">
        <v>4</v>
      </c>
      <c r="U56" s="105">
        <v>5</v>
      </c>
      <c r="V56" s="105">
        <v>6</v>
      </c>
      <c r="W56" s="105">
        <v>7</v>
      </c>
      <c r="X56" s="105">
        <v>8</v>
      </c>
      <c r="Y56" s="105">
        <v>9</v>
      </c>
      <c r="Z56" s="105">
        <v>10</v>
      </c>
      <c r="AA56" s="105">
        <v>11</v>
      </c>
    </row>
    <row r="57" spans="11:27" x14ac:dyDescent="0.3">
      <c r="K57" s="146"/>
      <c r="P57" s="145" t="s">
        <v>163</v>
      </c>
      <c r="Q57" s="105">
        <v>38</v>
      </c>
      <c r="R57" s="105">
        <v>38</v>
      </c>
      <c r="S57" s="105">
        <v>40</v>
      </c>
      <c r="T57" s="105">
        <v>45</v>
      </c>
      <c r="U57" s="105">
        <v>44</v>
      </c>
      <c r="V57" s="105">
        <v>44</v>
      </c>
      <c r="W57" s="105">
        <v>43</v>
      </c>
      <c r="X57" s="105">
        <v>41</v>
      </c>
      <c r="Y57" s="105">
        <v>41</v>
      </c>
      <c r="Z57" s="105">
        <v>44</v>
      </c>
      <c r="AA57" s="105">
        <v>42</v>
      </c>
    </row>
    <row r="58" spans="11:27" x14ac:dyDescent="0.3">
      <c r="K58" s="139" t="s">
        <v>42</v>
      </c>
      <c r="L58" s="139">
        <v>2300</v>
      </c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</row>
    <row r="59" spans="11:27" x14ac:dyDescent="0.3">
      <c r="K59" s="139" t="s">
        <v>73</v>
      </c>
      <c r="L59" s="139">
        <f>L60*L61</f>
        <v>17.192499999999999</v>
      </c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</row>
    <row r="60" spans="11:27" x14ac:dyDescent="0.3">
      <c r="K60" s="139" t="s">
        <v>3</v>
      </c>
      <c r="L60" s="139">
        <v>0.46</v>
      </c>
      <c r="P60" s="105" t="s">
        <v>191</v>
      </c>
      <c r="Q60" s="105">
        <f>L58/Q57</f>
        <v>60.526315789473685</v>
      </c>
      <c r="R60" s="105"/>
      <c r="S60" s="105"/>
      <c r="T60" s="105"/>
      <c r="U60" s="105"/>
      <c r="V60" s="105"/>
      <c r="W60" s="105"/>
      <c r="X60" s="105"/>
      <c r="Y60" s="105"/>
      <c r="Z60" s="105"/>
      <c r="AA60" s="105"/>
    </row>
    <row r="61" spans="11:27" x14ac:dyDescent="0.3">
      <c r="K61" s="139" t="s">
        <v>70</v>
      </c>
      <c r="L61" s="139">
        <v>37.375</v>
      </c>
      <c r="P61" s="105" t="s">
        <v>200</v>
      </c>
      <c r="Q61" s="105">
        <f>(L58+L59*R57)/SUM(Q57:R57)</f>
        <v>38.85940789473684</v>
      </c>
      <c r="R61" s="105"/>
      <c r="S61" s="105"/>
      <c r="T61" s="105"/>
      <c r="U61" s="105"/>
      <c r="V61" s="105"/>
      <c r="W61" s="105"/>
      <c r="X61" s="105"/>
      <c r="Y61" s="105"/>
      <c r="Z61" s="105"/>
      <c r="AA61" s="105"/>
    </row>
    <row r="62" spans="11:27" x14ac:dyDescent="0.3">
      <c r="P62" s="105" t="s">
        <v>210</v>
      </c>
      <c r="Q62" s="105">
        <f>(L58+L59*R57+2*L59*S57)/SUM(Q57:S57)</f>
        <v>37.316508620689653</v>
      </c>
      <c r="R62" s="105"/>
      <c r="S62" s="105"/>
      <c r="T62" s="105"/>
      <c r="U62" s="105"/>
      <c r="V62" s="105"/>
      <c r="W62" s="105"/>
      <c r="X62" s="105"/>
      <c r="Y62" s="105"/>
      <c r="Z62" s="105"/>
      <c r="AA62" s="105"/>
    </row>
    <row r="63" spans="11:27" x14ac:dyDescent="0.3">
      <c r="P63" s="105" t="s">
        <v>215</v>
      </c>
      <c r="Q63" s="105">
        <f>(L58+L59*R57+2*L59*S57+3*L59*T57)/SUM(Q57:T57)</f>
        <v>41.302500000000002</v>
      </c>
      <c r="R63" s="105" t="s">
        <v>216</v>
      </c>
      <c r="S63" s="105"/>
      <c r="T63" s="105"/>
      <c r="U63" s="105"/>
      <c r="V63" s="105"/>
      <c r="W63" s="105" t="s">
        <v>247</v>
      </c>
      <c r="X63" s="105" t="s">
        <v>81</v>
      </c>
      <c r="Y63" s="105"/>
      <c r="Z63" s="105"/>
      <c r="AA63" s="105"/>
    </row>
    <row r="64" spans="11:27" x14ac:dyDescent="0.3">
      <c r="P64" s="105"/>
      <c r="Q64" s="105"/>
      <c r="R64" s="105" t="s">
        <v>248</v>
      </c>
      <c r="S64" s="105">
        <f>SUM(Q57:S57)</f>
        <v>116</v>
      </c>
      <c r="T64" s="105"/>
      <c r="U64" s="105"/>
      <c r="V64" s="105">
        <v>1</v>
      </c>
      <c r="W64" s="105">
        <f>SUM(Q57:S57)</f>
        <v>116</v>
      </c>
      <c r="X64" s="105">
        <f>W64-Q57</f>
        <v>78</v>
      </c>
      <c r="Y64" s="105"/>
      <c r="Z64" s="105"/>
      <c r="AA64" s="105"/>
    </row>
    <row r="65" spans="16:27" x14ac:dyDescent="0.3">
      <c r="P65" s="105"/>
      <c r="Q65" s="105"/>
      <c r="R65" s="105"/>
      <c r="S65" s="105"/>
      <c r="T65" s="105"/>
      <c r="U65" s="105"/>
      <c r="V65" s="105">
        <v>2</v>
      </c>
      <c r="W65" s="105">
        <v>0</v>
      </c>
      <c r="X65" s="105">
        <f>X64-R57</f>
        <v>40</v>
      </c>
      <c r="Y65" s="105"/>
      <c r="Z65" s="105"/>
      <c r="AA65" s="105"/>
    </row>
    <row r="66" spans="16:27" x14ac:dyDescent="0.3">
      <c r="P66" s="105"/>
      <c r="Q66" s="105"/>
      <c r="R66" s="105"/>
      <c r="S66" s="105"/>
      <c r="T66" s="105"/>
      <c r="U66" s="105"/>
      <c r="V66" s="105">
        <v>3</v>
      </c>
      <c r="W66" s="105">
        <v>0</v>
      </c>
      <c r="X66" s="105">
        <f>X65-S57</f>
        <v>0</v>
      </c>
      <c r="Y66" s="105"/>
      <c r="Z66" s="105"/>
      <c r="AA66" s="105"/>
    </row>
    <row r="67" spans="16:27" x14ac:dyDescent="0.3">
      <c r="P67" s="105" t="s">
        <v>191</v>
      </c>
      <c r="Q67" s="105">
        <f>L58/T57</f>
        <v>51.111111111111114</v>
      </c>
      <c r="R67" s="105"/>
      <c r="S67" s="105"/>
      <c r="T67" s="105"/>
      <c r="U67" s="105"/>
      <c r="V67" s="105">
        <v>4</v>
      </c>
      <c r="W67" s="105">
        <f>SUM(T57:U57)</f>
        <v>89</v>
      </c>
      <c r="X67" s="105">
        <f>W67-T57</f>
        <v>44</v>
      </c>
      <c r="Y67" s="105"/>
      <c r="Z67" s="105"/>
      <c r="AA67" s="105"/>
    </row>
    <row r="68" spans="16:27" x14ac:dyDescent="0.3">
      <c r="P68" s="105" t="s">
        <v>200</v>
      </c>
      <c r="Q68" s="105">
        <f>(L58+L59*U57)/SUM(T57:U57)</f>
        <v>34.342359550561795</v>
      </c>
      <c r="R68" s="105"/>
      <c r="S68" s="105"/>
      <c r="T68" s="105"/>
      <c r="U68" s="105"/>
      <c r="V68" s="105">
        <v>5</v>
      </c>
      <c r="W68" s="105">
        <v>0</v>
      </c>
      <c r="X68" s="105">
        <f>X67-U57</f>
        <v>0</v>
      </c>
      <c r="Y68" s="105"/>
      <c r="Z68" s="105"/>
      <c r="AA68" s="105"/>
    </row>
    <row r="69" spans="16:27" x14ac:dyDescent="0.3">
      <c r="P69" s="105" t="s">
        <v>210</v>
      </c>
      <c r="Q69" s="105">
        <f>(L58+L59*U57+2*L59*V57)/SUM(T57:V57)</f>
        <v>34.356466165413529</v>
      </c>
      <c r="R69" s="105" t="s">
        <v>251</v>
      </c>
      <c r="S69" s="105"/>
      <c r="T69" s="105"/>
      <c r="U69" s="105"/>
      <c r="V69" s="105">
        <v>6</v>
      </c>
      <c r="W69" s="105">
        <f>SUM(V57:X57)</f>
        <v>128</v>
      </c>
      <c r="X69" s="105">
        <f>W69-V57</f>
        <v>84</v>
      </c>
      <c r="Y69" s="105"/>
      <c r="Z69" s="105"/>
      <c r="AA69" s="105"/>
    </row>
    <row r="70" spans="16:27" x14ac:dyDescent="0.3">
      <c r="P70" s="105"/>
      <c r="Q70" s="105"/>
      <c r="R70" s="105" t="s">
        <v>252</v>
      </c>
      <c r="S70" s="105">
        <f>SUM(T57:U57)</f>
        <v>89</v>
      </c>
      <c r="T70" s="105"/>
      <c r="U70" s="105"/>
      <c r="V70" s="105">
        <v>7</v>
      </c>
      <c r="W70" s="105">
        <v>0</v>
      </c>
      <c r="X70" s="105">
        <f>X69-W57</f>
        <v>41</v>
      </c>
      <c r="Y70" s="105"/>
      <c r="Z70" s="105"/>
      <c r="AA70" s="105"/>
    </row>
    <row r="71" spans="16:27" x14ac:dyDescent="0.3">
      <c r="P71" s="105"/>
      <c r="Q71" s="105"/>
      <c r="R71" s="105"/>
      <c r="S71" s="105"/>
      <c r="T71" s="105"/>
      <c r="U71" s="105"/>
      <c r="V71" s="105">
        <v>8</v>
      </c>
      <c r="W71" s="105">
        <v>0</v>
      </c>
      <c r="X71" s="105">
        <f>X70-X57</f>
        <v>0</v>
      </c>
      <c r="Y71" s="105"/>
      <c r="Z71" s="105"/>
      <c r="AA71" s="105"/>
    </row>
    <row r="72" spans="16:27" x14ac:dyDescent="0.3">
      <c r="P72" s="105"/>
      <c r="Q72" s="105"/>
      <c r="R72" s="105"/>
      <c r="S72" s="105"/>
      <c r="T72" s="105"/>
      <c r="U72" s="105"/>
      <c r="V72" s="105">
        <v>9</v>
      </c>
      <c r="W72" s="105">
        <f>SUM(Y57:AA57)</f>
        <v>127</v>
      </c>
      <c r="X72" s="105">
        <f>W72-Y57</f>
        <v>86</v>
      </c>
      <c r="Y72" s="105"/>
      <c r="Z72" s="105"/>
      <c r="AA72" s="105"/>
    </row>
    <row r="73" spans="16:27" x14ac:dyDescent="0.3">
      <c r="P73" s="105"/>
      <c r="Q73" s="105"/>
      <c r="R73" s="105"/>
      <c r="S73" s="105"/>
      <c r="T73" s="105"/>
      <c r="U73" s="105"/>
      <c r="V73" s="105">
        <v>10</v>
      </c>
      <c r="W73" s="105">
        <v>0</v>
      </c>
      <c r="X73" s="105">
        <f>X72-Z57</f>
        <v>42</v>
      </c>
      <c r="Y73" s="140" t="s">
        <v>129</v>
      </c>
      <c r="Z73" s="105">
        <f>4*L58</f>
        <v>9200</v>
      </c>
      <c r="AA73" s="105"/>
    </row>
    <row r="74" spans="16:27" x14ac:dyDescent="0.3">
      <c r="P74" s="105" t="s">
        <v>191</v>
      </c>
      <c r="Q74" s="105">
        <f>L58/V57</f>
        <v>52.272727272727273</v>
      </c>
      <c r="R74" s="105"/>
      <c r="S74" s="105"/>
      <c r="T74" s="105"/>
      <c r="U74" s="105"/>
      <c r="V74" s="105">
        <v>11</v>
      </c>
      <c r="W74" s="105">
        <v>0</v>
      </c>
      <c r="X74" s="105">
        <f>X73-AA57</f>
        <v>0</v>
      </c>
      <c r="Y74" s="140" t="s">
        <v>149</v>
      </c>
      <c r="Z74" s="105">
        <f>SUM(X64:X74)*L59</f>
        <v>7134.8874999999998</v>
      </c>
      <c r="AA74" s="105"/>
    </row>
    <row r="75" spans="16:27" x14ac:dyDescent="0.3">
      <c r="P75" s="105" t="s">
        <v>200</v>
      </c>
      <c r="Q75" s="105">
        <f>(L58+L59*W57)/SUM(V57:W57)</f>
        <v>34.934224137931039</v>
      </c>
      <c r="R75" s="105"/>
      <c r="S75" s="105"/>
      <c r="T75" s="105"/>
      <c r="U75" s="105"/>
      <c r="V75" s="105"/>
      <c r="W75" s="105"/>
      <c r="X75" s="105"/>
      <c r="Y75" s="140" t="s">
        <v>133</v>
      </c>
      <c r="Z75" s="105">
        <f>SUM(Z73:Z74)</f>
        <v>16334.887500000001</v>
      </c>
      <c r="AA75" s="105"/>
    </row>
    <row r="76" spans="16:27" x14ac:dyDescent="0.3">
      <c r="P76" s="105" t="s">
        <v>210</v>
      </c>
      <c r="Q76" s="105">
        <f>(L58+L59*W57+2*L59*X57)/SUM(V57:X57)</f>
        <v>34.75830078125</v>
      </c>
      <c r="R76" s="105"/>
      <c r="S76" s="105"/>
      <c r="T76" s="105"/>
      <c r="U76" s="105"/>
      <c r="V76" s="105"/>
      <c r="W76" s="105"/>
      <c r="X76" s="105"/>
      <c r="Y76" s="105"/>
      <c r="Z76" s="105"/>
      <c r="AA76" s="105"/>
    </row>
    <row r="77" spans="16:27" x14ac:dyDescent="0.3">
      <c r="P77" s="105" t="s">
        <v>215</v>
      </c>
      <c r="Q77" s="105">
        <f>(L58+L59*W57+2*L59*X57+3*L59*Y57)/SUM(V57:Y57)</f>
        <v>38.838698224852067</v>
      </c>
      <c r="R77" s="105" t="s">
        <v>216</v>
      </c>
      <c r="S77" s="105"/>
      <c r="T77" s="105"/>
      <c r="U77" s="105"/>
      <c r="V77" s="105"/>
      <c r="W77" s="105"/>
      <c r="X77" s="105"/>
      <c r="Y77" s="105"/>
      <c r="Z77" s="105"/>
      <c r="AA77" s="105"/>
    </row>
    <row r="78" spans="16:27" x14ac:dyDescent="0.3">
      <c r="P78" s="105"/>
      <c r="Q78" s="105"/>
      <c r="R78" s="105" t="s">
        <v>250</v>
      </c>
      <c r="S78" s="105">
        <f>SUM(V57:X57)</f>
        <v>128</v>
      </c>
      <c r="T78" s="105"/>
      <c r="U78" s="105"/>
      <c r="V78" s="105"/>
      <c r="W78" s="105"/>
      <c r="X78" s="105"/>
      <c r="Y78" s="105"/>
      <c r="Z78" s="105"/>
      <c r="AA78" s="105"/>
    </row>
    <row r="79" spans="16:27" x14ac:dyDescent="0.3"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</row>
    <row r="80" spans="16:27" x14ac:dyDescent="0.3"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</row>
    <row r="81" spans="11:27" x14ac:dyDescent="0.3">
      <c r="P81" s="105" t="s">
        <v>191</v>
      </c>
      <c r="Q81" s="105">
        <f>L58/Y57</f>
        <v>56.097560975609753</v>
      </c>
      <c r="R81" s="105"/>
      <c r="S81" s="105"/>
      <c r="T81" s="105"/>
      <c r="U81" s="105"/>
      <c r="V81" s="105"/>
      <c r="W81" s="105"/>
      <c r="X81" s="105"/>
      <c r="Y81" s="105"/>
      <c r="Z81" s="105"/>
      <c r="AA81" s="105"/>
    </row>
    <row r="82" spans="11:27" x14ac:dyDescent="0.3">
      <c r="P82" s="105" t="s">
        <v>200</v>
      </c>
      <c r="Q82" s="105">
        <f>(L58+L59*Z57)/SUM(Y57:Z57)</f>
        <v>35.958470588235294</v>
      </c>
      <c r="R82" s="105"/>
      <c r="S82" s="105"/>
      <c r="T82" s="105"/>
      <c r="U82" s="105"/>
      <c r="V82" s="105"/>
      <c r="W82" s="105"/>
      <c r="X82" s="105"/>
      <c r="Y82" s="105"/>
      <c r="Z82" s="105"/>
      <c r="AA82" s="105"/>
    </row>
    <row r="83" spans="11:27" x14ac:dyDescent="0.3">
      <c r="P83" s="105" t="s">
        <v>210</v>
      </c>
      <c r="Q83" s="105">
        <f>(L58+L59*Z57+2*L59*AA57)/SUM(Y57:AA57)</f>
        <v>35.438110236220467</v>
      </c>
      <c r="R83" s="105"/>
      <c r="S83" s="105"/>
      <c r="T83" s="105"/>
      <c r="U83" s="105"/>
      <c r="V83" s="105"/>
      <c r="W83" s="105"/>
      <c r="X83" s="105"/>
      <c r="Y83" s="105"/>
      <c r="Z83" s="105"/>
      <c r="AA83" s="105"/>
    </row>
    <row r="84" spans="11:27" x14ac:dyDescent="0.3">
      <c r="P84" s="105"/>
      <c r="Q84" s="105"/>
      <c r="R84" s="105" t="s">
        <v>253</v>
      </c>
      <c r="S84" s="105">
        <f>SUM(Y57:AA57)</f>
        <v>127</v>
      </c>
      <c r="T84" s="105"/>
      <c r="U84" s="105"/>
      <c r="V84" s="105"/>
      <c r="W84" s="105"/>
      <c r="X84" s="105"/>
      <c r="Y84" s="105"/>
      <c r="Z84" s="105"/>
      <c r="AA84" s="105"/>
    </row>
    <row r="93" spans="11:27" x14ac:dyDescent="0.3">
      <c r="K93" s="47" t="s">
        <v>164</v>
      </c>
      <c r="P93" s="47"/>
      <c r="Q93" s="47">
        <v>1</v>
      </c>
      <c r="R93" s="47">
        <v>2</v>
      </c>
      <c r="S93" s="47">
        <v>3</v>
      </c>
      <c r="T93" s="47">
        <v>4</v>
      </c>
      <c r="U93" s="47">
        <v>5</v>
      </c>
      <c r="V93" s="47">
        <v>6</v>
      </c>
      <c r="W93" s="47">
        <v>7</v>
      </c>
      <c r="X93" s="47">
        <v>8</v>
      </c>
      <c r="Y93" s="47">
        <v>9</v>
      </c>
      <c r="Z93" s="47">
        <v>10</v>
      </c>
      <c r="AA93" s="47">
        <v>11</v>
      </c>
    </row>
    <row r="94" spans="11:27" x14ac:dyDescent="0.3">
      <c r="P94" s="168" t="s">
        <v>163</v>
      </c>
      <c r="Q94" s="47">
        <v>38</v>
      </c>
      <c r="R94" s="47">
        <v>38</v>
      </c>
      <c r="S94" s="47">
        <v>40</v>
      </c>
      <c r="T94" s="47">
        <v>45</v>
      </c>
      <c r="U94" s="47">
        <v>44</v>
      </c>
      <c r="V94" s="47">
        <v>44</v>
      </c>
      <c r="W94" s="47">
        <v>43</v>
      </c>
      <c r="X94" s="47">
        <v>41</v>
      </c>
      <c r="Y94" s="47">
        <v>41</v>
      </c>
      <c r="Z94" s="47">
        <v>44</v>
      </c>
      <c r="AA94" s="47">
        <v>42</v>
      </c>
    </row>
    <row r="95" spans="11:27" x14ac:dyDescent="0.3">
      <c r="K95" s="139" t="s">
        <v>42</v>
      </c>
      <c r="L95" s="139">
        <v>2300</v>
      </c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</row>
    <row r="96" spans="11:27" x14ac:dyDescent="0.3">
      <c r="K96" s="139" t="s">
        <v>73</v>
      </c>
      <c r="L96" s="139">
        <f>L97*L98</f>
        <v>17.192499999999999</v>
      </c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</row>
    <row r="97" spans="11:27" x14ac:dyDescent="0.3">
      <c r="K97" s="139" t="s">
        <v>3</v>
      </c>
      <c r="L97" s="139">
        <v>0.46</v>
      </c>
      <c r="P97" s="47" t="s">
        <v>191</v>
      </c>
      <c r="Q97" s="47">
        <f>0</f>
        <v>0</v>
      </c>
      <c r="R97" s="47"/>
      <c r="S97" s="47"/>
      <c r="T97" s="47"/>
      <c r="U97" s="47"/>
      <c r="V97" s="47"/>
      <c r="W97" s="47"/>
      <c r="X97" s="47"/>
      <c r="Y97" s="47"/>
      <c r="Z97" s="47"/>
      <c r="AA97" s="47"/>
    </row>
    <row r="98" spans="11:27" x14ac:dyDescent="0.3">
      <c r="K98" s="139" t="s">
        <v>70</v>
      </c>
      <c r="L98" s="139">
        <v>37.375</v>
      </c>
      <c r="P98" s="47" t="s">
        <v>200</v>
      </c>
      <c r="Q98" s="47">
        <f>1*L96*R94</f>
        <v>653.31499999999994</v>
      </c>
      <c r="R98" s="47"/>
      <c r="S98" s="47"/>
      <c r="T98" s="47"/>
      <c r="U98" s="47"/>
      <c r="V98" s="47"/>
      <c r="W98" s="47"/>
      <c r="X98" s="47"/>
      <c r="Y98" s="47"/>
      <c r="Z98" s="47"/>
      <c r="AA98" s="47"/>
    </row>
    <row r="99" spans="11:27" x14ac:dyDescent="0.3">
      <c r="P99" s="47" t="s">
        <v>210</v>
      </c>
      <c r="Q99" s="47">
        <f>Q98+2*L96*S94</f>
        <v>2028.7149999999997</v>
      </c>
      <c r="R99" s="47" t="s">
        <v>105</v>
      </c>
      <c r="S99" s="47"/>
      <c r="T99" s="47"/>
      <c r="U99" s="47"/>
      <c r="V99" s="47"/>
      <c r="W99" s="47"/>
      <c r="X99" s="47"/>
      <c r="Y99" s="47"/>
      <c r="Z99" s="47"/>
      <c r="AA99" s="47"/>
    </row>
    <row r="100" spans="11:27" x14ac:dyDescent="0.3">
      <c r="P100" s="47" t="s">
        <v>215</v>
      </c>
      <c r="Q100" s="47">
        <f>Q99+3*L96*S94</f>
        <v>4091.8149999999996</v>
      </c>
      <c r="R100" s="47" t="s">
        <v>126</v>
      </c>
      <c r="S100" s="47">
        <f>SUM(Q94:S94)</f>
        <v>116</v>
      </c>
      <c r="T100" s="47"/>
      <c r="U100" s="47"/>
      <c r="V100" s="47"/>
      <c r="W100" s="47" t="s">
        <v>247</v>
      </c>
      <c r="X100" s="47" t="s">
        <v>81</v>
      </c>
      <c r="Y100" s="47"/>
      <c r="Z100" s="47"/>
      <c r="AA100" s="47"/>
    </row>
    <row r="101" spans="11:27" x14ac:dyDescent="0.3">
      <c r="P101" s="47"/>
      <c r="Q101" s="47"/>
      <c r="R101" s="47"/>
      <c r="S101" s="47"/>
      <c r="T101" s="47"/>
      <c r="U101" s="47"/>
      <c r="V101" s="47">
        <v>1</v>
      </c>
      <c r="W101" s="47">
        <v>116</v>
      </c>
      <c r="X101" s="47">
        <f>W101-Q94</f>
        <v>78</v>
      </c>
      <c r="Y101" s="47"/>
      <c r="Z101" s="47"/>
      <c r="AA101" s="47"/>
    </row>
    <row r="102" spans="11:27" x14ac:dyDescent="0.3">
      <c r="P102" s="47"/>
      <c r="Q102" s="47"/>
      <c r="R102" s="47"/>
      <c r="S102" s="47"/>
      <c r="T102" s="47"/>
      <c r="U102" s="47"/>
      <c r="V102" s="47">
        <v>2</v>
      </c>
      <c r="W102" s="47">
        <v>0</v>
      </c>
      <c r="X102" s="47">
        <f>X101-R94</f>
        <v>40</v>
      </c>
      <c r="Y102" s="47"/>
      <c r="Z102" s="47"/>
      <c r="AA102" s="47"/>
    </row>
    <row r="103" spans="11:27" x14ac:dyDescent="0.3">
      <c r="P103" s="47"/>
      <c r="Q103" s="47"/>
      <c r="R103" s="47"/>
      <c r="S103" s="47"/>
      <c r="T103" s="47"/>
      <c r="U103" s="47"/>
      <c r="V103" s="47">
        <v>3</v>
      </c>
      <c r="W103" s="47">
        <v>0</v>
      </c>
      <c r="X103" s="47">
        <f>X102-S94</f>
        <v>0</v>
      </c>
      <c r="Y103" s="47"/>
      <c r="Z103" s="47"/>
      <c r="AA103" s="47"/>
    </row>
    <row r="104" spans="11:27" x14ac:dyDescent="0.3">
      <c r="P104" s="47" t="s">
        <v>191</v>
      </c>
      <c r="Q104" s="47">
        <f>0</f>
        <v>0</v>
      </c>
      <c r="R104" s="47"/>
      <c r="S104" s="47"/>
      <c r="T104" s="47"/>
      <c r="U104" s="47"/>
      <c r="V104" s="47">
        <v>4</v>
      </c>
      <c r="W104" s="47">
        <v>133</v>
      </c>
      <c r="X104" s="47">
        <f>W104-T94</f>
        <v>88</v>
      </c>
      <c r="Y104" s="47"/>
      <c r="Z104" s="47"/>
      <c r="AA104" s="47"/>
    </row>
    <row r="105" spans="11:27" x14ac:dyDescent="0.3">
      <c r="P105" s="47" t="s">
        <v>200</v>
      </c>
      <c r="Q105" s="47">
        <f>1*L96*U94</f>
        <v>756.46999999999991</v>
      </c>
      <c r="R105" s="47"/>
      <c r="S105" s="47"/>
      <c r="T105" s="47"/>
      <c r="U105" s="47"/>
      <c r="V105" s="47">
        <v>5</v>
      </c>
      <c r="W105" s="47">
        <v>0</v>
      </c>
      <c r="X105" s="47">
        <f>X104-U94</f>
        <v>44</v>
      </c>
      <c r="Y105" s="47"/>
      <c r="Z105" s="47"/>
      <c r="AA105" s="47"/>
    </row>
    <row r="106" spans="11:27" x14ac:dyDescent="0.3">
      <c r="P106" s="47" t="s">
        <v>210</v>
      </c>
      <c r="Q106" s="47">
        <f>Q105+2*L96*V94</f>
        <v>2269.41</v>
      </c>
      <c r="R106" s="47" t="s">
        <v>105</v>
      </c>
      <c r="S106" s="47"/>
      <c r="T106" s="47"/>
      <c r="U106" s="47"/>
      <c r="V106" s="47">
        <v>6</v>
      </c>
      <c r="W106" s="47">
        <v>0</v>
      </c>
      <c r="X106" s="47">
        <f>X105-V94</f>
        <v>0</v>
      </c>
      <c r="Y106" s="47"/>
      <c r="Z106" s="47"/>
      <c r="AA106" s="47"/>
    </row>
    <row r="107" spans="11:27" x14ac:dyDescent="0.3">
      <c r="P107" s="47" t="s">
        <v>215</v>
      </c>
      <c r="Q107" s="47">
        <f>Q106+3*L96*W94</f>
        <v>4487.2425000000003</v>
      </c>
      <c r="R107" s="47" t="s">
        <v>145</v>
      </c>
      <c r="S107" s="47">
        <f>SUM(T94:V94)</f>
        <v>133</v>
      </c>
      <c r="T107" s="47"/>
      <c r="U107" s="47"/>
      <c r="V107" s="47">
        <v>7</v>
      </c>
      <c r="W107" s="47">
        <v>125</v>
      </c>
      <c r="X107" s="47">
        <f>W107-W94</f>
        <v>82</v>
      </c>
      <c r="Y107" s="47"/>
      <c r="Z107" s="47"/>
      <c r="AA107" s="47"/>
    </row>
    <row r="108" spans="11:27" x14ac:dyDescent="0.3">
      <c r="P108" s="47"/>
      <c r="Q108" s="47"/>
      <c r="R108" s="47"/>
      <c r="S108" s="47"/>
      <c r="T108" s="47"/>
      <c r="U108" s="47"/>
      <c r="V108" s="47">
        <v>8</v>
      </c>
      <c r="W108" s="47">
        <v>0</v>
      </c>
      <c r="X108" s="47">
        <f>X107-X94</f>
        <v>41</v>
      </c>
      <c r="Y108" s="47"/>
      <c r="Z108" s="47"/>
      <c r="AA108" s="47"/>
    </row>
    <row r="109" spans="11:27" x14ac:dyDescent="0.3">
      <c r="P109" s="47"/>
      <c r="Q109" s="47"/>
      <c r="R109" s="47"/>
      <c r="S109" s="47"/>
      <c r="T109" s="47"/>
      <c r="U109" s="47"/>
      <c r="V109" s="47">
        <v>9</v>
      </c>
      <c r="W109" s="47">
        <v>0</v>
      </c>
      <c r="X109" s="47">
        <f>X108-Y94</f>
        <v>0</v>
      </c>
      <c r="Y109" s="47"/>
      <c r="Z109" s="47"/>
      <c r="AA109" s="47"/>
    </row>
    <row r="110" spans="11:27" x14ac:dyDescent="0.3">
      <c r="P110" s="47"/>
      <c r="Q110" s="47"/>
      <c r="R110" s="47"/>
      <c r="S110" s="47"/>
      <c r="T110" s="47"/>
      <c r="U110" s="47"/>
      <c r="V110" s="47">
        <v>10</v>
      </c>
      <c r="W110" s="47">
        <v>86</v>
      </c>
      <c r="X110" s="47">
        <f>W110-Z94</f>
        <v>42</v>
      </c>
      <c r="Y110" s="47"/>
      <c r="Z110" s="47"/>
      <c r="AA110" s="47"/>
    </row>
    <row r="111" spans="11:27" x14ac:dyDescent="0.3">
      <c r="P111" s="47" t="s">
        <v>191</v>
      </c>
      <c r="Q111" s="47">
        <f>0</f>
        <v>0</v>
      </c>
      <c r="R111" s="47"/>
      <c r="S111" s="47"/>
      <c r="T111" s="47"/>
      <c r="U111" s="47"/>
      <c r="V111" s="47">
        <v>11</v>
      </c>
      <c r="W111" s="47">
        <v>0</v>
      </c>
      <c r="X111" s="47">
        <f>X110-AA94</f>
        <v>0</v>
      </c>
      <c r="Y111" s="47"/>
      <c r="Z111" s="47"/>
      <c r="AA111" s="47"/>
    </row>
    <row r="112" spans="11:27" x14ac:dyDescent="0.3">
      <c r="P112" s="47" t="s">
        <v>200</v>
      </c>
      <c r="Q112" s="47">
        <f>1*L96*X94</f>
        <v>704.89249999999993</v>
      </c>
      <c r="R112" s="47"/>
      <c r="S112" s="47"/>
      <c r="T112" s="47"/>
      <c r="U112" s="47"/>
      <c r="V112" s="47"/>
      <c r="W112" s="47"/>
      <c r="X112" s="47"/>
      <c r="Y112" s="47"/>
      <c r="Z112" s="47"/>
      <c r="AA112" s="47"/>
    </row>
    <row r="113" spans="16:27" x14ac:dyDescent="0.3">
      <c r="P113" s="47" t="s">
        <v>210</v>
      </c>
      <c r="Q113" s="47">
        <f>Q112+2*L96*Y94</f>
        <v>2114.6774999999998</v>
      </c>
      <c r="R113" s="47" t="s">
        <v>105</v>
      </c>
      <c r="S113" s="47"/>
      <c r="T113" s="47"/>
      <c r="U113" s="47"/>
      <c r="V113" s="47"/>
      <c r="W113" s="187" t="s">
        <v>129</v>
      </c>
      <c r="X113" s="47">
        <f>4*L95</f>
        <v>9200</v>
      </c>
      <c r="Y113" s="47"/>
      <c r="Z113" s="47"/>
      <c r="AA113" s="47"/>
    </row>
    <row r="114" spans="16:27" x14ac:dyDescent="0.3">
      <c r="P114" s="47" t="s">
        <v>215</v>
      </c>
      <c r="Q114" s="47">
        <f>Q113+3*L96*Z94</f>
        <v>4384.0874999999996</v>
      </c>
      <c r="R114" s="47" t="s">
        <v>170</v>
      </c>
      <c r="S114" s="47">
        <f>SUM(W94:Y94)</f>
        <v>125</v>
      </c>
      <c r="T114" s="47"/>
      <c r="U114" s="47"/>
      <c r="V114" s="47"/>
      <c r="W114" s="187" t="s">
        <v>149</v>
      </c>
      <c r="X114" s="47">
        <f>SUM(X101:X111)*L96</f>
        <v>7134.8874999999998</v>
      </c>
      <c r="Y114" s="47"/>
      <c r="Z114" s="47"/>
      <c r="AA114" s="47"/>
    </row>
    <row r="115" spans="16:27" x14ac:dyDescent="0.3">
      <c r="P115" s="47"/>
      <c r="Q115" s="47"/>
      <c r="R115" s="47"/>
      <c r="S115" s="47"/>
      <c r="T115" s="47"/>
      <c r="U115" s="47"/>
      <c r="V115" s="47"/>
      <c r="W115" s="187" t="s">
        <v>133</v>
      </c>
      <c r="X115" s="47">
        <f>SUM(X113:X114)</f>
        <v>16334.887500000001</v>
      </c>
      <c r="Y115" s="47"/>
      <c r="Z115" s="47"/>
      <c r="AA115" s="47"/>
    </row>
    <row r="116" spans="16:27" x14ac:dyDescent="0.3"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</row>
    <row r="117" spans="16:27" x14ac:dyDescent="0.3"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</row>
    <row r="118" spans="16:27" x14ac:dyDescent="0.3">
      <c r="P118" s="47" t="s">
        <v>191</v>
      </c>
      <c r="Q118" s="47">
        <f>0</f>
        <v>0</v>
      </c>
      <c r="R118" s="47"/>
      <c r="S118" s="47"/>
      <c r="T118" s="47"/>
      <c r="U118" s="47"/>
      <c r="V118" s="47"/>
      <c r="W118" s="47"/>
      <c r="X118" s="47"/>
      <c r="Y118" s="47"/>
      <c r="Z118" s="47"/>
      <c r="AA118" s="47"/>
    </row>
    <row r="119" spans="16:27" x14ac:dyDescent="0.3">
      <c r="P119" s="47" t="s">
        <v>200</v>
      </c>
      <c r="Q119" s="47">
        <f>1*L96*AA94</f>
        <v>722.08499999999992</v>
      </c>
      <c r="R119" s="47" t="s">
        <v>105</v>
      </c>
      <c r="S119" s="47"/>
      <c r="T119" s="47"/>
      <c r="U119" s="47"/>
      <c r="V119" s="47"/>
      <c r="W119" s="47"/>
      <c r="X119" s="47"/>
      <c r="Y119" s="47"/>
      <c r="Z119" s="47"/>
      <c r="AA119" s="47"/>
    </row>
    <row r="120" spans="16:27" x14ac:dyDescent="0.3">
      <c r="P120" s="47" t="s">
        <v>210</v>
      </c>
      <c r="Q120" s="47"/>
      <c r="R120" s="47" t="s">
        <v>173</v>
      </c>
      <c r="S120" s="47">
        <f>SUM(Z94:AA94)</f>
        <v>86</v>
      </c>
      <c r="T120" s="47"/>
      <c r="U120" s="47"/>
      <c r="V120" s="47"/>
      <c r="W120" s="47"/>
      <c r="X120" s="47"/>
      <c r="Y120" s="47"/>
      <c r="Z120" s="47"/>
      <c r="AA120" s="4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EB99-1B91-4721-8B7C-20CD36715567}">
  <dimension ref="A2:Z84"/>
  <sheetViews>
    <sheetView topLeftCell="D1" zoomScale="70" zoomScaleNormal="70" workbookViewId="0">
      <selection activeCell="X9" sqref="X9"/>
    </sheetView>
  </sheetViews>
  <sheetFormatPr defaultColWidth="8.77734375" defaultRowHeight="14.4" x14ac:dyDescent="0.3"/>
  <cols>
    <col min="2" max="2" width="7.6640625" customWidth="1"/>
    <col min="3" max="3" width="12" bestFit="1" customWidth="1"/>
    <col min="10" max="10" width="20.33203125" bestFit="1" customWidth="1"/>
    <col min="12" max="12" width="18.44140625" bestFit="1" customWidth="1"/>
    <col min="13" max="13" width="20.33203125" bestFit="1" customWidth="1"/>
    <col min="15" max="15" width="12.44140625" bestFit="1" customWidth="1"/>
    <col min="16" max="16" width="13.44140625" bestFit="1" customWidth="1"/>
    <col min="20" max="20" width="22" bestFit="1" customWidth="1"/>
    <col min="21" max="21" width="9" bestFit="1" customWidth="1"/>
    <col min="23" max="23" width="12" bestFit="1" customWidth="1"/>
  </cols>
  <sheetData>
    <row r="2" spans="1:24" x14ac:dyDescent="0.3">
      <c r="B2" t="s">
        <v>236</v>
      </c>
      <c r="C2" t="s">
        <v>237</v>
      </c>
    </row>
    <row r="3" spans="1:24" x14ac:dyDescent="0.3">
      <c r="A3" s="100" t="s">
        <v>5</v>
      </c>
      <c r="B3" s="136">
        <v>17</v>
      </c>
      <c r="C3" s="136">
        <v>5.8333333329999997</v>
      </c>
      <c r="E3" s="139" t="s">
        <v>42</v>
      </c>
      <c r="F3" s="139">
        <v>2300</v>
      </c>
      <c r="L3" s="169" t="s">
        <v>26</v>
      </c>
      <c r="M3" s="169" t="s">
        <v>27</v>
      </c>
      <c r="N3" s="42" t="s">
        <v>5</v>
      </c>
      <c r="O3" s="42" t="s">
        <v>7</v>
      </c>
      <c r="P3" s="42" t="s">
        <v>9</v>
      </c>
      <c r="Q3" s="42" t="s">
        <v>11</v>
      </c>
      <c r="R3" s="42" t="s">
        <v>13</v>
      </c>
      <c r="S3" s="42" t="s">
        <v>15</v>
      </c>
      <c r="T3" s="42" t="s">
        <v>17</v>
      </c>
      <c r="U3" s="42" t="s">
        <v>19</v>
      </c>
      <c r="V3" s="42" t="s">
        <v>21</v>
      </c>
      <c r="W3" s="42" t="s">
        <v>23</v>
      </c>
      <c r="X3" s="42" t="s">
        <v>28</v>
      </c>
    </row>
    <row r="4" spans="1:24" x14ac:dyDescent="0.3">
      <c r="A4" s="100" t="s">
        <v>7</v>
      </c>
      <c r="B4" s="136">
        <v>30</v>
      </c>
      <c r="C4" s="136">
        <v>8.6666666669999994</v>
      </c>
      <c r="E4" s="139" t="s">
        <v>73</v>
      </c>
      <c r="F4" s="139">
        <f>F5*F6</f>
        <v>12.190000000000001</v>
      </c>
      <c r="L4" s="169" t="s">
        <v>32</v>
      </c>
      <c r="M4" s="41"/>
      <c r="N4" s="41">
        <v>6</v>
      </c>
      <c r="O4" s="41">
        <v>9</v>
      </c>
      <c r="P4" s="41">
        <v>12</v>
      </c>
      <c r="Q4" s="41">
        <v>13</v>
      </c>
      <c r="R4" s="41">
        <v>12</v>
      </c>
      <c r="S4" s="41">
        <v>12</v>
      </c>
      <c r="T4" s="41">
        <v>13</v>
      </c>
      <c r="U4" s="41">
        <v>12</v>
      </c>
      <c r="V4" s="41">
        <v>7</v>
      </c>
      <c r="W4" s="41">
        <v>6</v>
      </c>
      <c r="X4" s="41">
        <v>4</v>
      </c>
    </row>
    <row r="5" spans="1:24" x14ac:dyDescent="0.3">
      <c r="A5" s="100" t="s">
        <v>9</v>
      </c>
      <c r="B5" s="136">
        <v>12</v>
      </c>
      <c r="C5" s="136">
        <v>12</v>
      </c>
      <c r="E5" s="139" t="s">
        <v>3</v>
      </c>
      <c r="F5" s="139">
        <v>0.46</v>
      </c>
      <c r="L5" s="169" t="s">
        <v>35</v>
      </c>
      <c r="M5" s="41">
        <v>6</v>
      </c>
      <c r="N5" s="41">
        <v>9</v>
      </c>
      <c r="O5" s="41">
        <v>12</v>
      </c>
      <c r="P5" s="41">
        <v>13</v>
      </c>
      <c r="Q5" s="41">
        <v>12</v>
      </c>
      <c r="R5" s="41">
        <v>12</v>
      </c>
      <c r="S5" s="41">
        <v>13</v>
      </c>
      <c r="T5" s="41">
        <v>12</v>
      </c>
      <c r="U5" s="41">
        <v>7</v>
      </c>
      <c r="V5" s="41">
        <v>6</v>
      </c>
      <c r="W5" s="41">
        <v>4</v>
      </c>
      <c r="X5" s="41"/>
    </row>
    <row r="6" spans="1:24" x14ac:dyDescent="0.3">
      <c r="A6" s="100" t="s">
        <v>11</v>
      </c>
      <c r="B6" s="136">
        <v>8</v>
      </c>
      <c r="C6" s="136">
        <v>12.33333333</v>
      </c>
      <c r="E6" s="139" t="s">
        <v>70</v>
      </c>
      <c r="F6" s="139">
        <v>26.5</v>
      </c>
      <c r="L6" s="169" t="s">
        <v>40</v>
      </c>
      <c r="M6" s="41">
        <v>60</v>
      </c>
      <c r="N6" s="41">
        <v>0</v>
      </c>
      <c r="O6" s="41">
        <v>0</v>
      </c>
      <c r="P6" s="41">
        <v>0</v>
      </c>
      <c r="Q6" s="41">
        <v>0</v>
      </c>
      <c r="R6" s="41">
        <v>60</v>
      </c>
      <c r="S6" s="41">
        <v>0</v>
      </c>
      <c r="T6" s="41">
        <v>0</v>
      </c>
      <c r="U6" s="41">
        <v>0</v>
      </c>
      <c r="V6" s="41">
        <v>0</v>
      </c>
      <c r="W6" s="41">
        <v>0</v>
      </c>
      <c r="X6" s="41"/>
    </row>
    <row r="7" spans="1:24" x14ac:dyDescent="0.3">
      <c r="A7" s="100" t="s">
        <v>13</v>
      </c>
      <c r="B7" s="136">
        <v>4</v>
      </c>
      <c r="C7" s="136">
        <v>11.16666667</v>
      </c>
      <c r="E7" s="139" t="s">
        <v>38</v>
      </c>
      <c r="F7" s="139">
        <f>ROUNDUP(SQRT(2*F3*C14/F4),0)</f>
        <v>60</v>
      </c>
      <c r="J7" s="43" t="s">
        <v>40</v>
      </c>
      <c r="L7" s="169" t="s">
        <v>43</v>
      </c>
      <c r="M7" s="41"/>
      <c r="N7" s="41">
        <v>60</v>
      </c>
      <c r="O7" s="41">
        <v>0</v>
      </c>
      <c r="P7" s="41">
        <v>0</v>
      </c>
      <c r="Q7" s="41">
        <v>0</v>
      </c>
      <c r="R7" s="41">
        <v>0</v>
      </c>
      <c r="S7" s="41">
        <v>60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</row>
    <row r="8" spans="1:24" x14ac:dyDescent="0.3">
      <c r="A8" s="100" t="s">
        <v>15</v>
      </c>
      <c r="B8" s="136">
        <v>4</v>
      </c>
      <c r="C8" s="136">
        <v>11.83333333</v>
      </c>
      <c r="L8" s="169" t="s">
        <v>45</v>
      </c>
      <c r="M8" s="41"/>
      <c r="N8" s="41">
        <f>M6-N4</f>
        <v>54</v>
      </c>
      <c r="O8" s="41">
        <f t="shared" ref="O8:T8" si="0">N8+N6-O4</f>
        <v>45</v>
      </c>
      <c r="P8" s="41">
        <f t="shared" si="0"/>
        <v>33</v>
      </c>
      <c r="Q8" s="41">
        <f t="shared" si="0"/>
        <v>20</v>
      </c>
      <c r="R8" s="41">
        <f t="shared" si="0"/>
        <v>8</v>
      </c>
      <c r="S8" s="41">
        <f t="shared" si="0"/>
        <v>56</v>
      </c>
      <c r="T8" s="41">
        <f t="shared" si="0"/>
        <v>43</v>
      </c>
      <c r="U8" s="41">
        <f>T6+T8-U4</f>
        <v>31</v>
      </c>
      <c r="V8" s="41">
        <f>U6+U8-V4</f>
        <v>24</v>
      </c>
      <c r="W8" s="41">
        <f>V8+V6-W4</f>
        <v>18</v>
      </c>
      <c r="X8" s="41">
        <f>W6+W8-X4</f>
        <v>14</v>
      </c>
    </row>
    <row r="9" spans="1:24" x14ac:dyDescent="0.3">
      <c r="A9" s="100" t="s">
        <v>17</v>
      </c>
      <c r="B9" s="136">
        <v>10</v>
      </c>
      <c r="C9" s="136">
        <v>12.5</v>
      </c>
    </row>
    <row r="10" spans="1:24" x14ac:dyDescent="0.3">
      <c r="A10" s="100" t="s">
        <v>19</v>
      </c>
      <c r="B10" s="136">
        <v>4</v>
      </c>
      <c r="C10" s="136">
        <v>11.33333333</v>
      </c>
      <c r="L10" s="169" t="s">
        <v>129</v>
      </c>
      <c r="M10" s="43">
        <f>2*F3</f>
        <v>4600</v>
      </c>
    </row>
    <row r="11" spans="1:24" x14ac:dyDescent="0.3">
      <c r="A11" s="100" t="s">
        <v>21</v>
      </c>
      <c r="B11" s="136">
        <v>2</v>
      </c>
      <c r="C11" s="136">
        <v>7</v>
      </c>
      <c r="I11">
        <v>4600</v>
      </c>
      <c r="L11" s="169" t="s">
        <v>149</v>
      </c>
      <c r="M11" s="43">
        <f>SUM(N8:X8)*F4</f>
        <v>4217.7400000000007</v>
      </c>
    </row>
    <row r="12" spans="1:24" x14ac:dyDescent="0.3">
      <c r="A12" s="100" t="s">
        <v>23</v>
      </c>
      <c r="B12" s="136">
        <v>0</v>
      </c>
      <c r="C12" s="136">
        <v>5.3333333329999997</v>
      </c>
      <c r="I12">
        <v>4217.7400000000007</v>
      </c>
      <c r="L12" s="169" t="s">
        <v>133</v>
      </c>
      <c r="M12" s="43">
        <f>SUM(M10:M11)</f>
        <v>8817.7400000000016</v>
      </c>
    </row>
    <row r="13" spans="1:24" x14ac:dyDescent="0.3">
      <c r="A13" s="100" t="s">
        <v>28</v>
      </c>
      <c r="B13" s="136">
        <v>0</v>
      </c>
      <c r="C13" s="136">
        <v>4</v>
      </c>
      <c r="I13">
        <v>8817.7400000000016</v>
      </c>
    </row>
    <row r="14" spans="1:24" x14ac:dyDescent="0.3">
      <c r="B14" t="s">
        <v>255</v>
      </c>
      <c r="C14">
        <f>AVERAGE(C3:C13)</f>
        <v>9.2727272720909095</v>
      </c>
    </row>
    <row r="16" spans="1:24" x14ac:dyDescent="0.3">
      <c r="C16">
        <f>ROUNDUP(C3,0)</f>
        <v>6</v>
      </c>
    </row>
    <row r="17" spans="3:26" x14ac:dyDescent="0.3">
      <c r="C17">
        <f t="shared" ref="C17:C27" si="1">ROUNDUP(C4,0)</f>
        <v>9</v>
      </c>
    </row>
    <row r="18" spans="3:26" x14ac:dyDescent="0.3">
      <c r="C18">
        <f t="shared" si="1"/>
        <v>12</v>
      </c>
    </row>
    <row r="19" spans="3:26" x14ac:dyDescent="0.3">
      <c r="C19">
        <f t="shared" si="1"/>
        <v>13</v>
      </c>
      <c r="J19" s="141" t="s">
        <v>246</v>
      </c>
      <c r="L19" s="18"/>
      <c r="M19" s="18"/>
      <c r="N19" s="18"/>
      <c r="O19" s="18">
        <v>1</v>
      </c>
      <c r="P19" s="18">
        <v>2</v>
      </c>
      <c r="Q19" s="18">
        <v>3</v>
      </c>
      <c r="R19" s="18">
        <v>4</v>
      </c>
      <c r="S19" s="18">
        <v>5</v>
      </c>
      <c r="T19" s="18">
        <v>6</v>
      </c>
      <c r="U19" s="18">
        <v>7</v>
      </c>
      <c r="V19" s="18">
        <v>8</v>
      </c>
      <c r="W19" s="18">
        <v>9</v>
      </c>
      <c r="X19" s="18">
        <v>10</v>
      </c>
      <c r="Y19" s="18">
        <v>11</v>
      </c>
      <c r="Z19" s="173"/>
    </row>
    <row r="20" spans="3:26" x14ac:dyDescent="0.3">
      <c r="C20">
        <f t="shared" si="1"/>
        <v>12</v>
      </c>
      <c r="L20" s="18"/>
      <c r="M20" s="141" t="s">
        <v>246</v>
      </c>
      <c r="N20" s="107" t="s">
        <v>163</v>
      </c>
      <c r="O20" s="18">
        <v>6</v>
      </c>
      <c r="P20" s="18">
        <v>9</v>
      </c>
      <c r="Q20" s="18">
        <v>12</v>
      </c>
      <c r="R20" s="18">
        <v>13</v>
      </c>
      <c r="S20" s="18">
        <v>12</v>
      </c>
      <c r="T20" s="18">
        <v>12</v>
      </c>
      <c r="U20" s="18">
        <v>13</v>
      </c>
      <c r="V20" s="18">
        <v>12</v>
      </c>
      <c r="W20" s="18">
        <v>7</v>
      </c>
      <c r="X20" s="18">
        <v>6</v>
      </c>
      <c r="Y20" s="18">
        <v>4</v>
      </c>
      <c r="Z20" s="173"/>
    </row>
    <row r="21" spans="3:26" x14ac:dyDescent="0.3">
      <c r="C21">
        <f t="shared" si="1"/>
        <v>12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3:26" x14ac:dyDescent="0.3">
      <c r="C22">
        <f t="shared" si="1"/>
        <v>13</v>
      </c>
      <c r="L22" s="18"/>
      <c r="M22" s="18"/>
      <c r="N22" s="18" t="s">
        <v>191</v>
      </c>
      <c r="O22" s="18">
        <f>F3/1</f>
        <v>2300</v>
      </c>
      <c r="P22" s="18"/>
      <c r="Q22" s="18"/>
      <c r="R22" s="18"/>
      <c r="S22" s="18"/>
      <c r="T22" s="18" t="s">
        <v>247</v>
      </c>
      <c r="U22" s="18" t="s">
        <v>81</v>
      </c>
      <c r="V22" s="18"/>
      <c r="W22" s="18"/>
      <c r="X22" s="18"/>
      <c r="Y22" s="18"/>
    </row>
    <row r="23" spans="3:26" x14ac:dyDescent="0.3">
      <c r="C23">
        <f t="shared" si="1"/>
        <v>12</v>
      </c>
      <c r="L23" s="18"/>
      <c r="M23" s="18"/>
      <c r="N23" s="18" t="s">
        <v>200</v>
      </c>
      <c r="O23" s="18">
        <f>(F3+F4*P20)/2</f>
        <v>1204.855</v>
      </c>
      <c r="P23" s="18"/>
      <c r="Q23" s="18"/>
      <c r="R23" s="18"/>
      <c r="S23" s="18">
        <v>1</v>
      </c>
      <c r="T23" s="18">
        <v>64</v>
      </c>
      <c r="U23" s="18">
        <f>T23-O20</f>
        <v>58</v>
      </c>
      <c r="V23" s="18"/>
      <c r="W23" s="141" t="s">
        <v>129</v>
      </c>
      <c r="X23" s="18">
        <f>2*F3</f>
        <v>4600</v>
      </c>
      <c r="Y23" s="18"/>
    </row>
    <row r="24" spans="3:26" x14ac:dyDescent="0.3">
      <c r="C24">
        <f t="shared" si="1"/>
        <v>7</v>
      </c>
      <c r="L24" s="18"/>
      <c r="M24" s="18"/>
      <c r="N24" s="18" t="s">
        <v>210</v>
      </c>
      <c r="O24" s="18">
        <f>(F3+1*F4*P20+2*F4*Q20)/3</f>
        <v>900.75666666666666</v>
      </c>
      <c r="P24" s="18"/>
      <c r="Q24" s="18"/>
      <c r="R24" s="18"/>
      <c r="S24" s="18">
        <v>2</v>
      </c>
      <c r="T24" s="18">
        <v>0</v>
      </c>
      <c r="U24" s="18">
        <f>U23-P20</f>
        <v>49</v>
      </c>
      <c r="V24" s="18"/>
      <c r="W24" s="141" t="s">
        <v>149</v>
      </c>
      <c r="X24" s="18">
        <f>SUM(U23:U33)*F4</f>
        <v>2925.6000000000004</v>
      </c>
      <c r="Y24" s="18"/>
    </row>
    <row r="25" spans="3:26" x14ac:dyDescent="0.3">
      <c r="C25">
        <f t="shared" si="1"/>
        <v>6</v>
      </c>
      <c r="I25">
        <v>4600</v>
      </c>
      <c r="L25" s="18"/>
      <c r="M25" s="18"/>
      <c r="N25" s="18" t="s">
        <v>215</v>
      </c>
      <c r="O25" s="18">
        <f>(F3+1*F4*P20+2*F4*Q20+3*F4*R20)/4</f>
        <v>794.42000000000007</v>
      </c>
      <c r="P25" s="18"/>
      <c r="Q25" s="18"/>
      <c r="R25" s="18"/>
      <c r="S25" s="18">
        <v>3</v>
      </c>
      <c r="T25" s="18">
        <v>0</v>
      </c>
      <c r="U25" s="18">
        <f>U24-Q20</f>
        <v>37</v>
      </c>
      <c r="V25" s="18"/>
      <c r="W25" s="141" t="s">
        <v>133</v>
      </c>
      <c r="X25" s="18">
        <f>SUM(X23:X24)</f>
        <v>7525.6</v>
      </c>
      <c r="Y25" s="18"/>
    </row>
    <row r="26" spans="3:26" x14ac:dyDescent="0.3">
      <c r="C26">
        <f t="shared" si="1"/>
        <v>4</v>
      </c>
      <c r="I26">
        <v>2925.6000000000004</v>
      </c>
      <c r="L26" s="18"/>
      <c r="M26" s="18"/>
      <c r="N26" s="18" t="s">
        <v>220</v>
      </c>
      <c r="O26" s="18">
        <f>(F3+1*F4*P20+2*F4*Q20+3*F4*R20+4*F4*S20)/5</f>
        <v>752.56000000000006</v>
      </c>
      <c r="P26" s="18"/>
      <c r="Q26" s="18"/>
      <c r="R26" s="18"/>
      <c r="S26" s="18">
        <v>4</v>
      </c>
      <c r="T26" s="18">
        <v>0</v>
      </c>
      <c r="U26" s="18">
        <f>U25-R20</f>
        <v>24</v>
      </c>
      <c r="V26" s="18"/>
      <c r="W26" s="18"/>
      <c r="X26" s="18"/>
      <c r="Y26" s="18"/>
    </row>
    <row r="27" spans="3:26" x14ac:dyDescent="0.3">
      <c r="C27">
        <f t="shared" si="1"/>
        <v>10</v>
      </c>
      <c r="I27">
        <v>7525.6</v>
      </c>
      <c r="L27" s="18"/>
      <c r="M27" s="18"/>
      <c r="N27" s="18" t="s">
        <v>221</v>
      </c>
      <c r="O27" s="18">
        <f>(F3+1*F4*P20+2*F4*Q20+3*F4*R20+4*F4*S20+5*F4*T20)/6</f>
        <v>749.03333333333342</v>
      </c>
      <c r="P27" s="18"/>
      <c r="Q27" s="18"/>
      <c r="R27" s="18"/>
      <c r="S27" s="18">
        <v>5</v>
      </c>
      <c r="T27" s="18">
        <v>0</v>
      </c>
      <c r="U27" s="18">
        <f>U26-S20</f>
        <v>12</v>
      </c>
      <c r="V27" s="18"/>
      <c r="W27" s="18"/>
      <c r="X27" s="18"/>
      <c r="Y27" s="18"/>
    </row>
    <row r="28" spans="3:26" x14ac:dyDescent="0.3">
      <c r="L28" s="18"/>
      <c r="M28" s="18"/>
      <c r="N28" s="18" t="s">
        <v>222</v>
      </c>
      <c r="O28" s="18">
        <f>(F3+1*F4*P20+2*F4*Q20+3*F4*R20+4*F4*S20+5*F4*T20+6*F4*U20)/7</f>
        <v>777.86</v>
      </c>
      <c r="P28" s="18" t="s">
        <v>223</v>
      </c>
      <c r="Q28" s="18"/>
      <c r="R28" s="18"/>
      <c r="S28" s="18">
        <v>6</v>
      </c>
      <c r="T28" s="18">
        <v>0</v>
      </c>
      <c r="U28" s="18">
        <f>U27-T20</f>
        <v>0</v>
      </c>
      <c r="V28" s="18"/>
      <c r="W28" s="18"/>
      <c r="X28" s="18"/>
      <c r="Y28" s="18"/>
    </row>
    <row r="29" spans="3:26" x14ac:dyDescent="0.3">
      <c r="L29" s="18"/>
      <c r="M29" s="18"/>
      <c r="N29" s="18"/>
      <c r="O29" s="18"/>
      <c r="P29" s="18" t="s">
        <v>126</v>
      </c>
      <c r="Q29" s="18">
        <f>SUM(O20:T20)</f>
        <v>64</v>
      </c>
      <c r="R29" s="18"/>
      <c r="S29" s="18">
        <v>7</v>
      </c>
      <c r="T29" s="18">
        <f>SUM(U20:Y20)</f>
        <v>42</v>
      </c>
      <c r="U29" s="18">
        <f>T29-U20</f>
        <v>29</v>
      </c>
      <c r="V29" s="18"/>
      <c r="W29" s="18"/>
      <c r="X29" s="18"/>
      <c r="Y29" s="18"/>
    </row>
    <row r="30" spans="3:26" x14ac:dyDescent="0.3">
      <c r="L30" s="18"/>
      <c r="M30" s="18"/>
      <c r="N30" s="18"/>
      <c r="O30" s="18"/>
      <c r="P30" s="18"/>
      <c r="Q30" s="18"/>
      <c r="R30" s="18"/>
      <c r="S30" s="18">
        <v>8</v>
      </c>
      <c r="T30" s="18">
        <v>0</v>
      </c>
      <c r="U30" s="18">
        <f>U29-V20</f>
        <v>17</v>
      </c>
      <c r="V30" s="18"/>
      <c r="W30" s="18"/>
      <c r="X30" s="18"/>
      <c r="Y30" s="18"/>
    </row>
    <row r="31" spans="3:26" x14ac:dyDescent="0.3">
      <c r="L31" s="18"/>
      <c r="M31" s="18"/>
      <c r="N31" s="18"/>
      <c r="O31" s="18"/>
      <c r="P31" s="18"/>
      <c r="Q31" s="18"/>
      <c r="R31" s="18"/>
      <c r="S31" s="18">
        <v>9</v>
      </c>
      <c r="T31" s="18">
        <v>0</v>
      </c>
      <c r="U31" s="18">
        <f>U30-W20</f>
        <v>10</v>
      </c>
      <c r="V31" s="18"/>
      <c r="W31" s="18"/>
      <c r="X31" s="18"/>
      <c r="Y31" s="18"/>
    </row>
    <row r="32" spans="3:26" x14ac:dyDescent="0.3">
      <c r="L32" s="18"/>
      <c r="M32" s="18"/>
      <c r="N32" s="18" t="s">
        <v>191</v>
      </c>
      <c r="O32" s="18">
        <f>F3/1</f>
        <v>2300</v>
      </c>
      <c r="P32" s="18"/>
      <c r="Q32" s="18"/>
      <c r="R32" s="18"/>
      <c r="S32" s="18">
        <v>10</v>
      </c>
      <c r="T32" s="18">
        <v>0</v>
      </c>
      <c r="U32" s="18">
        <f>U31-X20</f>
        <v>4</v>
      </c>
      <c r="V32" s="18"/>
      <c r="W32" s="18"/>
      <c r="X32" s="18"/>
      <c r="Y32" s="18"/>
    </row>
    <row r="33" spans="10:25" x14ac:dyDescent="0.3">
      <c r="L33" s="18"/>
      <c r="M33" s="18"/>
      <c r="N33" s="18" t="s">
        <v>200</v>
      </c>
      <c r="O33" s="18">
        <f>(F3+1*F4*V20)/2</f>
        <v>1223.1400000000001</v>
      </c>
      <c r="P33" s="18"/>
      <c r="Q33" s="18"/>
      <c r="R33" s="18"/>
      <c r="S33" s="18">
        <v>11</v>
      </c>
      <c r="T33" s="18">
        <v>0</v>
      </c>
      <c r="U33" s="18">
        <f>Y20-U32</f>
        <v>0</v>
      </c>
      <c r="V33" s="18"/>
      <c r="W33" s="18"/>
      <c r="X33" s="18"/>
      <c r="Y33" s="18"/>
    </row>
    <row r="34" spans="10:25" x14ac:dyDescent="0.3">
      <c r="L34" s="18"/>
      <c r="M34" s="18"/>
      <c r="N34" s="18" t="s">
        <v>210</v>
      </c>
      <c r="O34" s="18">
        <f>(F3+1*F4*V20+2*F4*W20)/3</f>
        <v>872.31333333333339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0:25" x14ac:dyDescent="0.3">
      <c r="L35" s="18"/>
      <c r="M35" s="18"/>
      <c r="N35" s="18" t="s">
        <v>215</v>
      </c>
      <c r="O35" s="18">
        <f>(F3+1*F4*V20+2*F4*W20+3*F4*X20)/4</f>
        <v>709.09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0:25" x14ac:dyDescent="0.3">
      <c r="L36" s="18"/>
      <c r="M36" s="18"/>
      <c r="N36" s="18" t="s">
        <v>220</v>
      </c>
      <c r="O36" s="18">
        <f>(F3+1*F4*V20+2*F4*W20+3*F4*X20+4*F4*Y20)/5</f>
        <v>606.28</v>
      </c>
      <c r="P36" s="18" t="s">
        <v>145</v>
      </c>
      <c r="Q36" s="18">
        <f>SUM(U20:Y20)</f>
        <v>42</v>
      </c>
      <c r="R36" s="18"/>
      <c r="S36" s="18"/>
      <c r="T36" s="18"/>
      <c r="U36" s="18"/>
      <c r="V36" s="18"/>
      <c r="W36" s="18"/>
      <c r="X36" s="18"/>
      <c r="Y36" s="18"/>
    </row>
    <row r="42" spans="10:25" x14ac:dyDescent="0.3">
      <c r="J42" s="105" t="s">
        <v>96</v>
      </c>
      <c r="M42" s="105"/>
      <c r="N42" s="105"/>
      <c r="O42" s="105">
        <v>1</v>
      </c>
      <c r="P42" s="105">
        <v>2</v>
      </c>
      <c r="Q42" s="105">
        <v>3</v>
      </c>
      <c r="R42" s="105">
        <v>4</v>
      </c>
      <c r="S42" s="105">
        <v>5</v>
      </c>
      <c r="T42" s="105">
        <v>6</v>
      </c>
      <c r="U42" s="105">
        <v>7</v>
      </c>
      <c r="V42" s="105">
        <v>8</v>
      </c>
      <c r="W42" s="105">
        <v>9</v>
      </c>
      <c r="X42" s="105">
        <v>10</v>
      </c>
      <c r="Y42" s="105">
        <v>11</v>
      </c>
    </row>
    <row r="43" spans="10:25" x14ac:dyDescent="0.3">
      <c r="J43" s="139" t="s">
        <v>42</v>
      </c>
      <c r="K43" s="139">
        <v>2300</v>
      </c>
      <c r="M43" s="105" t="s">
        <v>96</v>
      </c>
      <c r="N43" s="145" t="s">
        <v>163</v>
      </c>
      <c r="O43" s="105">
        <v>6</v>
      </c>
      <c r="P43" s="105">
        <v>9</v>
      </c>
      <c r="Q43" s="105">
        <v>12</v>
      </c>
      <c r="R43" s="105">
        <v>13</v>
      </c>
      <c r="S43" s="105">
        <v>12</v>
      </c>
      <c r="T43" s="105">
        <v>12</v>
      </c>
      <c r="U43" s="105">
        <v>13</v>
      </c>
      <c r="V43" s="105">
        <v>12</v>
      </c>
      <c r="W43" s="105">
        <v>7</v>
      </c>
      <c r="X43" s="105">
        <v>6</v>
      </c>
      <c r="Y43" s="105">
        <v>4</v>
      </c>
    </row>
    <row r="44" spans="10:25" x14ac:dyDescent="0.3">
      <c r="J44" s="139" t="s">
        <v>73</v>
      </c>
      <c r="K44" s="139">
        <f>K45*K46</f>
        <v>12.190000000000001</v>
      </c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</row>
    <row r="45" spans="10:25" x14ac:dyDescent="0.3">
      <c r="J45" s="139" t="s">
        <v>3</v>
      </c>
      <c r="K45" s="139">
        <v>0.46</v>
      </c>
      <c r="M45" s="105"/>
      <c r="N45" s="105" t="s">
        <v>191</v>
      </c>
      <c r="O45" s="105">
        <f>K43/O43</f>
        <v>383.33333333333331</v>
      </c>
      <c r="P45" s="105"/>
      <c r="Q45" s="105"/>
      <c r="R45" s="105"/>
      <c r="S45" s="105"/>
      <c r="T45" s="105" t="s">
        <v>247</v>
      </c>
      <c r="U45" s="105" t="s">
        <v>81</v>
      </c>
      <c r="V45" s="105"/>
      <c r="W45" s="105"/>
      <c r="X45" s="105"/>
      <c r="Y45" s="105"/>
    </row>
    <row r="46" spans="10:25" x14ac:dyDescent="0.3">
      <c r="J46" s="139" t="s">
        <v>70</v>
      </c>
      <c r="K46" s="139">
        <v>26.5</v>
      </c>
      <c r="M46" s="105"/>
      <c r="N46" s="105" t="s">
        <v>200</v>
      </c>
      <c r="O46" s="105">
        <f>(K43+1*K44*P43)/SUM(O43:P43)</f>
        <v>160.64733333333334</v>
      </c>
      <c r="P46" s="105"/>
      <c r="Q46" s="105"/>
      <c r="R46" s="105"/>
      <c r="S46" s="105">
        <v>1</v>
      </c>
      <c r="T46" s="105">
        <v>77</v>
      </c>
      <c r="U46" s="105">
        <f>T46-O43</f>
        <v>71</v>
      </c>
      <c r="V46" s="105"/>
      <c r="W46" s="140" t="s">
        <v>129</v>
      </c>
      <c r="X46" s="105">
        <f>2*K43</f>
        <v>4600</v>
      </c>
      <c r="Y46" s="105"/>
    </row>
    <row r="47" spans="10:25" x14ac:dyDescent="0.3">
      <c r="M47" s="105"/>
      <c r="N47" s="105" t="s">
        <v>210</v>
      </c>
      <c r="O47" s="105">
        <f>(K43+1*K44*P43+2*K44*Q43)/SUM(O43:Q43)</f>
        <v>100.08407407407407</v>
      </c>
      <c r="P47" s="105"/>
      <c r="Q47" s="105"/>
      <c r="R47" s="105"/>
      <c r="S47" s="105">
        <v>2</v>
      </c>
      <c r="T47" s="105">
        <v>0</v>
      </c>
      <c r="U47" s="105">
        <f>U46-P43</f>
        <v>62</v>
      </c>
      <c r="V47" s="105"/>
      <c r="W47" s="140" t="s">
        <v>149</v>
      </c>
      <c r="X47" s="105">
        <f>SUM(U46:U56)*K44</f>
        <v>3522.9100000000003</v>
      </c>
      <c r="Y47" s="105"/>
    </row>
    <row r="48" spans="10:25" x14ac:dyDescent="0.3">
      <c r="M48" s="105"/>
      <c r="N48" s="105" t="s">
        <v>215</v>
      </c>
      <c r="O48" s="105">
        <f>(K43+1*K44*P43+2*K44*Q43+3*K44*R43)/SUM(O43:R43)</f>
        <v>79.442000000000007</v>
      </c>
      <c r="P48" s="105"/>
      <c r="Q48" s="105"/>
      <c r="R48" s="105"/>
      <c r="S48" s="105">
        <v>3</v>
      </c>
      <c r="T48" s="105">
        <v>0</v>
      </c>
      <c r="U48" s="105">
        <f>U47-Q43</f>
        <v>50</v>
      </c>
      <c r="V48" s="105"/>
      <c r="W48" s="140" t="s">
        <v>133</v>
      </c>
      <c r="X48" s="105">
        <f>SUM(X46:X47)</f>
        <v>8122.91</v>
      </c>
      <c r="Y48" s="105"/>
    </row>
    <row r="49" spans="10:25" x14ac:dyDescent="0.3">
      <c r="J49">
        <v>4600</v>
      </c>
      <c r="M49" s="105"/>
      <c r="N49" s="105" t="s">
        <v>220</v>
      </c>
      <c r="O49" s="105">
        <f>(K43+1*K44*P43+2*K44*Q43+3*K44*R43+4*K44*S43)/SUM(O43:S43)</f>
        <v>72.361538461538458</v>
      </c>
      <c r="P49" s="105"/>
      <c r="Q49" s="105"/>
      <c r="R49" s="105"/>
      <c r="S49" s="105">
        <v>4</v>
      </c>
      <c r="T49" s="105">
        <v>0</v>
      </c>
      <c r="U49" s="105">
        <f>U48-R43</f>
        <v>37</v>
      </c>
      <c r="V49" s="105"/>
      <c r="W49" s="105"/>
      <c r="X49" s="105"/>
      <c r="Y49" s="105"/>
    </row>
    <row r="50" spans="10:25" x14ac:dyDescent="0.3">
      <c r="J50">
        <v>3522.9100000000003</v>
      </c>
      <c r="M50" s="105"/>
      <c r="N50" s="105" t="s">
        <v>221</v>
      </c>
      <c r="O50" s="105">
        <f>(K43+1*K44*P43+2*K44*Q43+3*K44*R43+4*K44*S43+5*K44*T43)/SUM(O43:T43)</f>
        <v>70.221875000000011</v>
      </c>
      <c r="P50" s="105"/>
      <c r="Q50" s="105"/>
      <c r="R50" s="105"/>
      <c r="S50" s="105">
        <v>5</v>
      </c>
      <c r="T50" s="105">
        <v>0</v>
      </c>
      <c r="U50" s="105">
        <f>U49-S43</f>
        <v>25</v>
      </c>
      <c r="V50" s="105"/>
      <c r="W50" s="105"/>
      <c r="X50" s="105"/>
      <c r="Y50" s="105"/>
    </row>
    <row r="51" spans="10:25" x14ac:dyDescent="0.3">
      <c r="J51">
        <v>8122.91</v>
      </c>
      <c r="M51" s="105"/>
      <c r="N51" s="105" t="s">
        <v>222</v>
      </c>
      <c r="O51" s="105">
        <f>(K43+1*K44*P43+2*K44*Q43+3*K44*R43+4*K44*S43+4*K44*T43+6*K44*U43)/SUM(O43:U43)</f>
        <v>68.814805194805189</v>
      </c>
      <c r="P51" s="105"/>
      <c r="Q51" s="105"/>
      <c r="R51" s="105"/>
      <c r="S51" s="105">
        <v>6</v>
      </c>
      <c r="T51" s="105">
        <v>0</v>
      </c>
      <c r="U51" s="105">
        <f>U50-T43</f>
        <v>13</v>
      </c>
      <c r="V51" s="105"/>
      <c r="W51" s="105"/>
      <c r="X51" s="105"/>
      <c r="Y51" s="105"/>
    </row>
    <row r="52" spans="10:25" x14ac:dyDescent="0.3">
      <c r="M52" s="105"/>
      <c r="N52" s="105" t="s">
        <v>258</v>
      </c>
      <c r="O52" s="105">
        <f>(K43+1*K44*P43+2*K44*Q43+3*K44*R43+4*K44*S43+4*K44*T43+6*K44*U43+7*K44*V43)/SUM(O43:V43)</f>
        <v>71.041573033707863</v>
      </c>
      <c r="P52" s="105" t="s">
        <v>259</v>
      </c>
      <c r="Q52" s="105"/>
      <c r="R52" s="105"/>
      <c r="S52" s="105">
        <v>7</v>
      </c>
      <c r="T52" s="105">
        <v>0</v>
      </c>
      <c r="U52" s="105">
        <f>U51-U43</f>
        <v>0</v>
      </c>
      <c r="V52" s="105"/>
      <c r="W52" s="105"/>
      <c r="X52" s="105"/>
      <c r="Y52" s="105"/>
    </row>
    <row r="53" spans="10:25" x14ac:dyDescent="0.3">
      <c r="M53" s="105"/>
      <c r="N53" s="105"/>
      <c r="O53" s="105"/>
      <c r="P53" s="105" t="s">
        <v>126</v>
      </c>
      <c r="Q53" s="105">
        <f>SUM(O43:U43)</f>
        <v>77</v>
      </c>
      <c r="R53" s="105"/>
      <c r="S53" s="105">
        <v>8</v>
      </c>
      <c r="T53" s="105">
        <f>SUM(V43:Y43)</f>
        <v>29</v>
      </c>
      <c r="U53" s="105">
        <f>T53-V43</f>
        <v>17</v>
      </c>
      <c r="V53" s="105"/>
      <c r="W53" s="105"/>
      <c r="X53" s="105"/>
      <c r="Y53" s="105"/>
    </row>
    <row r="54" spans="10:25" x14ac:dyDescent="0.3">
      <c r="M54" s="105"/>
      <c r="N54" s="105"/>
      <c r="O54" s="105"/>
      <c r="P54" s="105"/>
      <c r="Q54" s="105"/>
      <c r="R54" s="105"/>
      <c r="S54" s="105">
        <v>9</v>
      </c>
      <c r="T54" s="105">
        <v>0</v>
      </c>
      <c r="U54" s="105">
        <f>U53-W43</f>
        <v>10</v>
      </c>
      <c r="V54" s="105"/>
      <c r="W54" s="105"/>
      <c r="X54" s="105"/>
      <c r="Y54" s="105"/>
    </row>
    <row r="55" spans="10:25" x14ac:dyDescent="0.3">
      <c r="M55" s="105"/>
      <c r="N55" s="105"/>
      <c r="O55" s="105"/>
      <c r="P55" s="105"/>
      <c r="Q55" s="105"/>
      <c r="R55" s="105"/>
      <c r="S55" s="105">
        <v>10</v>
      </c>
      <c r="T55" s="105">
        <v>0</v>
      </c>
      <c r="U55" s="105">
        <f>U54-X43</f>
        <v>4</v>
      </c>
      <c r="V55" s="105"/>
      <c r="W55" s="105"/>
      <c r="X55" s="105"/>
      <c r="Y55" s="105"/>
    </row>
    <row r="56" spans="10:25" x14ac:dyDescent="0.3">
      <c r="M56" s="105"/>
      <c r="N56" s="105" t="s">
        <v>191</v>
      </c>
      <c r="O56" s="105">
        <f>K43/V43</f>
        <v>191.66666666666666</v>
      </c>
      <c r="P56" s="105"/>
      <c r="Q56" s="105"/>
      <c r="R56" s="105"/>
      <c r="S56" s="105">
        <v>11</v>
      </c>
      <c r="T56" s="105">
        <v>0</v>
      </c>
      <c r="U56" s="105">
        <f>U55-Y43</f>
        <v>0</v>
      </c>
      <c r="V56" s="105"/>
      <c r="W56" s="105"/>
      <c r="X56" s="105"/>
      <c r="Y56" s="105"/>
    </row>
    <row r="57" spans="10:25" x14ac:dyDescent="0.3">
      <c r="M57" s="105"/>
      <c r="N57" s="105" t="s">
        <v>200</v>
      </c>
      <c r="O57" s="105">
        <f>(K43+1*K44*W43)/SUM(V43:W43)</f>
        <v>125.54368421052631</v>
      </c>
      <c r="P57" s="105"/>
      <c r="Q57" s="105"/>
      <c r="R57" s="105"/>
      <c r="S57" s="105"/>
      <c r="T57" s="105"/>
      <c r="U57" s="105"/>
      <c r="V57" s="105"/>
      <c r="W57" s="105"/>
      <c r="X57" s="105"/>
      <c r="Y57" s="105"/>
    </row>
    <row r="58" spans="10:25" x14ac:dyDescent="0.3">
      <c r="M58" s="105"/>
      <c r="N58" s="105" t="s">
        <v>210</v>
      </c>
      <c r="O58" s="105">
        <f>(K43+1*K44*W43+2*K44*X43)/SUM(V43:X43)</f>
        <v>101.26440000000001</v>
      </c>
      <c r="P58" s="105"/>
      <c r="Q58" s="105"/>
      <c r="R58" s="105"/>
      <c r="S58" s="105"/>
      <c r="T58" s="105"/>
      <c r="U58" s="105"/>
      <c r="V58" s="105"/>
      <c r="W58" s="105"/>
      <c r="X58" s="105"/>
      <c r="Y58" s="105"/>
    </row>
    <row r="59" spans="10:25" x14ac:dyDescent="0.3">
      <c r="M59" s="105"/>
      <c r="N59" s="105" t="s">
        <v>215</v>
      </c>
      <c r="O59" s="105">
        <f>(K43+1*K44*W43+2*K44*X43+3*K44*Y43)/SUM(V43:Y43)</f>
        <v>92.34103448275863</v>
      </c>
      <c r="P59" s="105"/>
      <c r="Q59" s="105"/>
      <c r="R59" s="105"/>
      <c r="S59" s="105"/>
      <c r="T59" s="105"/>
      <c r="U59" s="105"/>
      <c r="V59" s="105"/>
      <c r="W59" s="105"/>
      <c r="X59" s="105"/>
      <c r="Y59" s="105"/>
    </row>
    <row r="60" spans="10:25" x14ac:dyDescent="0.3">
      <c r="M60" s="105"/>
      <c r="N60" s="105"/>
      <c r="O60" s="105"/>
      <c r="P60" s="105" t="s">
        <v>145</v>
      </c>
      <c r="Q60" s="105">
        <f>SUM(V43:Y43)</f>
        <v>29</v>
      </c>
      <c r="R60" s="105"/>
      <c r="S60" s="105"/>
      <c r="T60" s="105"/>
      <c r="U60" s="105"/>
      <c r="V60" s="105"/>
      <c r="W60" s="105"/>
      <c r="X60" s="105"/>
      <c r="Y60" s="105"/>
    </row>
    <row r="65" spans="10:25" x14ac:dyDescent="0.3">
      <c r="J65" s="47" t="s">
        <v>164</v>
      </c>
    </row>
    <row r="66" spans="10:25" x14ac:dyDescent="0.3">
      <c r="J66" s="139" t="s">
        <v>42</v>
      </c>
      <c r="K66" s="139">
        <v>2300</v>
      </c>
      <c r="N66" s="47"/>
      <c r="O66" s="47">
        <v>1</v>
      </c>
      <c r="P66" s="47">
        <v>2</v>
      </c>
      <c r="Q66" s="47">
        <v>3</v>
      </c>
      <c r="R66" s="47">
        <v>4</v>
      </c>
      <c r="S66" s="47">
        <v>5</v>
      </c>
      <c r="T66" s="47">
        <v>6</v>
      </c>
      <c r="U66" s="47">
        <v>7</v>
      </c>
      <c r="V66" s="47">
        <v>8</v>
      </c>
      <c r="W66" s="47">
        <v>9</v>
      </c>
      <c r="X66" s="47">
        <v>10</v>
      </c>
      <c r="Y66" s="47">
        <v>11</v>
      </c>
    </row>
    <row r="67" spans="10:25" x14ac:dyDescent="0.3">
      <c r="J67" s="139" t="s">
        <v>73</v>
      </c>
      <c r="K67" s="139">
        <f>K68*K69</f>
        <v>12.190000000000001</v>
      </c>
      <c r="N67" s="168" t="s">
        <v>163</v>
      </c>
      <c r="O67" s="47">
        <v>6</v>
      </c>
      <c r="P67" s="47">
        <v>9</v>
      </c>
      <c r="Q67" s="47">
        <v>12</v>
      </c>
      <c r="R67" s="47">
        <v>13</v>
      </c>
      <c r="S67" s="47">
        <v>12</v>
      </c>
      <c r="T67" s="47">
        <v>12</v>
      </c>
      <c r="U67" s="47">
        <v>13</v>
      </c>
      <c r="V67" s="47">
        <v>12</v>
      </c>
      <c r="W67" s="47">
        <v>7</v>
      </c>
      <c r="X67" s="47">
        <v>6</v>
      </c>
      <c r="Y67" s="47">
        <v>4</v>
      </c>
    </row>
    <row r="68" spans="10:25" x14ac:dyDescent="0.3">
      <c r="J68" s="139" t="s">
        <v>3</v>
      </c>
      <c r="K68" s="139">
        <v>0.46</v>
      </c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0:25" x14ac:dyDescent="0.3">
      <c r="J69" s="139" t="s">
        <v>70</v>
      </c>
      <c r="K69" s="139">
        <v>26.5</v>
      </c>
      <c r="N69" s="47" t="s">
        <v>191</v>
      </c>
      <c r="O69" s="47">
        <f>0</f>
        <v>0</v>
      </c>
      <c r="P69" s="47"/>
      <c r="Q69" s="47"/>
      <c r="R69" s="47"/>
      <c r="S69" s="47"/>
      <c r="T69" s="47" t="s">
        <v>247</v>
      </c>
      <c r="U69" s="47" t="s">
        <v>81</v>
      </c>
      <c r="V69" s="47"/>
      <c r="W69" s="47"/>
      <c r="X69" s="47"/>
      <c r="Y69" s="47"/>
    </row>
    <row r="70" spans="10:25" x14ac:dyDescent="0.3">
      <c r="N70" s="47" t="s">
        <v>200</v>
      </c>
      <c r="O70" s="47">
        <f>1*K67*P67</f>
        <v>109.71000000000001</v>
      </c>
      <c r="P70" s="47"/>
      <c r="Q70" s="47"/>
      <c r="R70" s="47"/>
      <c r="S70" s="47">
        <v>1</v>
      </c>
      <c r="T70" s="47">
        <f>SUM(O67:T67)</f>
        <v>64</v>
      </c>
      <c r="U70" s="47">
        <f>T70-O67</f>
        <v>58</v>
      </c>
      <c r="V70" s="47"/>
      <c r="W70" s="187" t="s">
        <v>129</v>
      </c>
      <c r="X70" s="47">
        <f>2*K66</f>
        <v>4600</v>
      </c>
      <c r="Y70" s="47"/>
    </row>
    <row r="71" spans="10:25" x14ac:dyDescent="0.3">
      <c r="N71" s="47" t="s">
        <v>210</v>
      </c>
      <c r="O71" s="47">
        <f>O70+2*K67*Q67</f>
        <v>402.2700000000001</v>
      </c>
      <c r="P71" s="47"/>
      <c r="Q71" s="47"/>
      <c r="R71" s="47"/>
      <c r="S71" s="47">
        <v>2</v>
      </c>
      <c r="T71" s="47">
        <v>0</v>
      </c>
      <c r="U71" s="47">
        <f>U70-P67</f>
        <v>49</v>
      </c>
      <c r="V71" s="47"/>
      <c r="W71" s="187" t="s">
        <v>149</v>
      </c>
      <c r="X71" s="47">
        <f>SUM(U70:U80)*K67</f>
        <v>2925.6000000000004</v>
      </c>
      <c r="Y71" s="47"/>
    </row>
    <row r="72" spans="10:25" x14ac:dyDescent="0.3">
      <c r="N72" s="47" t="s">
        <v>215</v>
      </c>
      <c r="O72" s="47">
        <f>O71+3*K67*R67</f>
        <v>877.68000000000018</v>
      </c>
      <c r="P72" s="47"/>
      <c r="Q72" s="47"/>
      <c r="R72" s="47"/>
      <c r="S72" s="47">
        <v>3</v>
      </c>
      <c r="T72" s="47">
        <v>0</v>
      </c>
      <c r="U72" s="47">
        <f>U71-Q67</f>
        <v>37</v>
      </c>
      <c r="V72" s="47"/>
      <c r="W72" s="187" t="s">
        <v>133</v>
      </c>
      <c r="X72" s="47">
        <f>SUM(X70:X71)</f>
        <v>7525.6</v>
      </c>
      <c r="Y72" s="47"/>
    </row>
    <row r="73" spans="10:25" x14ac:dyDescent="0.3">
      <c r="N73" s="47" t="s">
        <v>220</v>
      </c>
      <c r="O73" s="47">
        <f>O72+4*K67*S67</f>
        <v>1462.8000000000002</v>
      </c>
      <c r="P73" s="47"/>
      <c r="Q73" s="47"/>
      <c r="R73" s="47"/>
      <c r="S73" s="47">
        <v>4</v>
      </c>
      <c r="T73" s="47">
        <v>0</v>
      </c>
      <c r="U73" s="47">
        <f>U72-R67</f>
        <v>24</v>
      </c>
      <c r="V73" s="47"/>
      <c r="W73" s="47"/>
      <c r="X73" s="47"/>
      <c r="Y73" s="47"/>
    </row>
    <row r="74" spans="10:25" x14ac:dyDescent="0.3">
      <c r="J74">
        <v>4600</v>
      </c>
      <c r="N74" s="47" t="s">
        <v>221</v>
      </c>
      <c r="O74" s="47">
        <f>O73+5*K67*T67</f>
        <v>2194.2000000000003</v>
      </c>
      <c r="P74" s="47" t="s">
        <v>105</v>
      </c>
      <c r="Q74" s="47"/>
      <c r="R74" s="47"/>
      <c r="S74" s="47">
        <v>5</v>
      </c>
      <c r="T74" s="47">
        <v>0</v>
      </c>
      <c r="U74" s="47">
        <f>U73-S67</f>
        <v>12</v>
      </c>
      <c r="V74" s="47"/>
      <c r="W74" s="47"/>
      <c r="X74" s="47"/>
      <c r="Y74" s="47"/>
    </row>
    <row r="75" spans="10:25" x14ac:dyDescent="0.3">
      <c r="J75">
        <v>2925.6000000000004</v>
      </c>
      <c r="N75" s="47" t="s">
        <v>222</v>
      </c>
      <c r="O75" s="47">
        <f>O74+6*K67*U67</f>
        <v>3145.0200000000004</v>
      </c>
      <c r="P75" s="47" t="s">
        <v>126</v>
      </c>
      <c r="Q75" s="47">
        <f>SUM(O67:T67)</f>
        <v>64</v>
      </c>
      <c r="R75" s="47"/>
      <c r="S75" s="47">
        <v>6</v>
      </c>
      <c r="T75" s="47">
        <v>0</v>
      </c>
      <c r="U75" s="47">
        <f>U74-T67</f>
        <v>0</v>
      </c>
      <c r="V75" s="47"/>
      <c r="W75" s="47"/>
      <c r="X75" s="47"/>
      <c r="Y75" s="47"/>
    </row>
    <row r="76" spans="10:25" x14ac:dyDescent="0.3">
      <c r="J76">
        <v>7525.6</v>
      </c>
      <c r="N76" s="47"/>
      <c r="O76" s="47"/>
      <c r="P76" s="47"/>
      <c r="Q76" s="47"/>
      <c r="R76" s="47"/>
      <c r="S76" s="47">
        <v>7</v>
      </c>
      <c r="T76" s="47">
        <f>SUM(U67:Y67)</f>
        <v>42</v>
      </c>
      <c r="U76" s="47">
        <f>T76-U67</f>
        <v>29</v>
      </c>
      <c r="V76" s="47"/>
      <c r="W76" s="47"/>
      <c r="X76" s="47"/>
      <c r="Y76" s="47"/>
    </row>
    <row r="77" spans="10:25" x14ac:dyDescent="0.3">
      <c r="N77" s="47"/>
      <c r="O77" s="47"/>
      <c r="P77" s="47"/>
      <c r="Q77" s="47"/>
      <c r="R77" s="47"/>
      <c r="S77" s="47">
        <v>8</v>
      </c>
      <c r="T77" s="47">
        <v>0</v>
      </c>
      <c r="U77" s="47">
        <f>U76-V67</f>
        <v>17</v>
      </c>
      <c r="V77" s="47"/>
      <c r="W77" s="47"/>
      <c r="X77" s="47"/>
      <c r="Y77" s="47"/>
    </row>
    <row r="78" spans="10:25" x14ac:dyDescent="0.3">
      <c r="N78" s="47"/>
      <c r="O78" s="47"/>
      <c r="P78" s="47"/>
      <c r="Q78" s="47"/>
      <c r="R78" s="47"/>
      <c r="S78" s="47">
        <v>9</v>
      </c>
      <c r="T78" s="47">
        <v>0</v>
      </c>
      <c r="U78" s="47">
        <f>U77-W67</f>
        <v>10</v>
      </c>
      <c r="V78" s="47"/>
      <c r="W78" s="47"/>
      <c r="X78" s="47"/>
      <c r="Y78" s="47"/>
    </row>
    <row r="79" spans="10:25" x14ac:dyDescent="0.3">
      <c r="N79" s="47" t="s">
        <v>191</v>
      </c>
      <c r="O79" s="47">
        <v>0</v>
      </c>
      <c r="P79" s="47"/>
      <c r="Q79" s="47"/>
      <c r="R79" s="47"/>
      <c r="S79" s="47">
        <v>10</v>
      </c>
      <c r="T79" s="47">
        <v>0</v>
      </c>
      <c r="U79" s="47">
        <f>U78-X67</f>
        <v>4</v>
      </c>
      <c r="V79" s="47"/>
      <c r="W79" s="47"/>
      <c r="X79" s="47"/>
      <c r="Y79" s="47"/>
    </row>
    <row r="80" spans="10:25" x14ac:dyDescent="0.3">
      <c r="N80" s="47" t="s">
        <v>200</v>
      </c>
      <c r="O80" s="47">
        <f>1*K67*V67</f>
        <v>146.28000000000003</v>
      </c>
      <c r="P80" s="47"/>
      <c r="Q80" s="47"/>
      <c r="R80" s="47"/>
      <c r="S80" s="47">
        <v>11</v>
      </c>
      <c r="T80" s="47">
        <v>0</v>
      </c>
      <c r="U80" s="47">
        <f>U79-Y67</f>
        <v>0</v>
      </c>
      <c r="V80" s="47"/>
      <c r="W80" s="47"/>
      <c r="X80" s="47"/>
      <c r="Y80" s="47"/>
    </row>
    <row r="81" spans="14:25" x14ac:dyDescent="0.3">
      <c r="N81" s="47" t="s">
        <v>210</v>
      </c>
      <c r="O81" s="47">
        <f>O80+2*K67*W67</f>
        <v>316.94000000000005</v>
      </c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4:25" x14ac:dyDescent="0.3">
      <c r="N82" s="47" t="s">
        <v>215</v>
      </c>
      <c r="O82" s="47">
        <f>O81+3*K67*X67</f>
        <v>536.36000000000013</v>
      </c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4:25" x14ac:dyDescent="0.3">
      <c r="N83" s="47" t="s">
        <v>220</v>
      </c>
      <c r="O83" s="47">
        <f>O82+4*K67*Y67</f>
        <v>731.40000000000009</v>
      </c>
      <c r="P83" s="47" t="s">
        <v>105</v>
      </c>
      <c r="Q83" s="47"/>
      <c r="R83" s="47"/>
      <c r="S83" s="47"/>
      <c r="T83" s="47"/>
      <c r="U83" s="47"/>
      <c r="V83" s="47"/>
      <c r="W83" s="47"/>
      <c r="X83" s="47"/>
      <c r="Y83" s="47"/>
    </row>
    <row r="84" spans="14:25" x14ac:dyDescent="0.3">
      <c r="N84" s="47"/>
      <c r="O84" s="47"/>
      <c r="P84" s="47" t="s">
        <v>145</v>
      </c>
      <c r="Q84" s="47">
        <f>SUM(U67:Y67)</f>
        <v>42</v>
      </c>
      <c r="R84" s="47"/>
      <c r="S84" s="47"/>
      <c r="T84" s="47"/>
      <c r="U84" s="47"/>
      <c r="V84" s="47"/>
      <c r="W84" s="47"/>
      <c r="X84" s="47"/>
      <c r="Y84" s="4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B7306-C1FB-4A2C-8126-2EC5A53042AF}">
  <dimension ref="A1:W77"/>
  <sheetViews>
    <sheetView zoomScale="60" workbookViewId="0">
      <selection activeCell="V8" sqref="V8"/>
    </sheetView>
  </sheetViews>
  <sheetFormatPr defaultColWidth="8.77734375" defaultRowHeight="14.4" x14ac:dyDescent="0.3"/>
  <cols>
    <col min="2" max="2" width="8.33203125" customWidth="1"/>
    <col min="3" max="3" width="12" bestFit="1" customWidth="1"/>
    <col min="8" max="8" width="20.33203125" bestFit="1" customWidth="1"/>
    <col min="10" max="10" width="19.77734375" bestFit="1" customWidth="1"/>
    <col min="11" max="11" width="20.33203125" bestFit="1" customWidth="1"/>
    <col min="14" max="14" width="13.44140625" bestFit="1" customWidth="1"/>
    <col min="17" max="17" width="5.109375" bestFit="1" customWidth="1"/>
    <col min="18" max="18" width="22" bestFit="1" customWidth="1"/>
    <col min="21" max="21" width="12" bestFit="1" customWidth="1"/>
    <col min="22" max="23" width="42.33203125" bestFit="1" customWidth="1"/>
  </cols>
  <sheetData>
    <row r="1" spans="1:23" x14ac:dyDescent="0.3">
      <c r="B1" t="s">
        <v>236</v>
      </c>
      <c r="C1" t="s">
        <v>237</v>
      </c>
    </row>
    <row r="2" spans="1:23" x14ac:dyDescent="0.3">
      <c r="A2" s="100" t="s">
        <v>5</v>
      </c>
      <c r="B2" s="136">
        <v>0</v>
      </c>
      <c r="C2" s="136">
        <v>0</v>
      </c>
      <c r="E2" s="171" t="s">
        <v>42</v>
      </c>
      <c r="F2" s="139">
        <v>2300</v>
      </c>
      <c r="J2" s="169" t="s">
        <v>26</v>
      </c>
      <c r="K2" s="169" t="s">
        <v>27</v>
      </c>
      <c r="L2" s="42" t="s">
        <v>5</v>
      </c>
      <c r="M2" s="42" t="s">
        <v>7</v>
      </c>
      <c r="N2" s="42" t="s">
        <v>9</v>
      </c>
      <c r="O2" s="42" t="s">
        <v>11</v>
      </c>
      <c r="P2" s="42" t="s">
        <v>13</v>
      </c>
      <c r="Q2" s="42" t="s">
        <v>15</v>
      </c>
      <c r="R2" s="42" t="s">
        <v>17</v>
      </c>
      <c r="S2" s="42" t="s">
        <v>19</v>
      </c>
      <c r="T2" s="42" t="s">
        <v>21</v>
      </c>
      <c r="U2" s="42" t="s">
        <v>23</v>
      </c>
      <c r="V2" s="42" t="s">
        <v>28</v>
      </c>
    </row>
    <row r="3" spans="1:23" x14ac:dyDescent="0.3">
      <c r="A3" s="100" t="s">
        <v>7</v>
      </c>
      <c r="B3" s="136">
        <v>0</v>
      </c>
      <c r="C3" s="136">
        <v>0</v>
      </c>
      <c r="E3" s="171" t="s">
        <v>73</v>
      </c>
      <c r="F3" s="139">
        <f>F4*F5</f>
        <v>46.862500000000004</v>
      </c>
      <c r="J3" s="169" t="s">
        <v>32</v>
      </c>
      <c r="K3" s="41"/>
      <c r="L3" s="41">
        <v>0</v>
      </c>
      <c r="M3" s="41">
        <v>0</v>
      </c>
      <c r="N3" s="41">
        <v>0</v>
      </c>
      <c r="O3" s="41">
        <v>0</v>
      </c>
      <c r="P3" s="41">
        <v>0</v>
      </c>
      <c r="Q3" s="41">
        <v>2</v>
      </c>
      <c r="R3" s="41">
        <v>2</v>
      </c>
      <c r="S3" s="41">
        <v>2</v>
      </c>
      <c r="T3" s="41">
        <v>2</v>
      </c>
      <c r="U3" s="41">
        <v>2</v>
      </c>
      <c r="V3" s="41">
        <v>2</v>
      </c>
    </row>
    <row r="4" spans="1:23" x14ac:dyDescent="0.3">
      <c r="A4" s="100" t="s">
        <v>9</v>
      </c>
      <c r="B4" s="136">
        <v>0</v>
      </c>
      <c r="C4" s="136">
        <v>0</v>
      </c>
      <c r="E4" s="171" t="s">
        <v>3</v>
      </c>
      <c r="F4" s="139">
        <v>0.46</v>
      </c>
      <c r="J4" s="169" t="s">
        <v>35</v>
      </c>
      <c r="K4" s="41">
        <v>0</v>
      </c>
      <c r="L4" s="41">
        <v>0</v>
      </c>
      <c r="M4" s="41">
        <v>0</v>
      </c>
      <c r="N4" s="41">
        <v>0</v>
      </c>
      <c r="O4" s="41">
        <v>0</v>
      </c>
      <c r="P4" s="41">
        <v>2</v>
      </c>
      <c r="Q4" s="41">
        <v>2</v>
      </c>
      <c r="R4" s="41">
        <v>2</v>
      </c>
      <c r="S4" s="41">
        <v>2</v>
      </c>
      <c r="T4" s="41">
        <v>2</v>
      </c>
      <c r="U4" s="41">
        <v>2</v>
      </c>
      <c r="V4" s="41"/>
    </row>
    <row r="5" spans="1:23" x14ac:dyDescent="0.3">
      <c r="A5" s="100" t="s">
        <v>11</v>
      </c>
      <c r="B5" s="136">
        <v>0</v>
      </c>
      <c r="C5" s="136">
        <v>0</v>
      </c>
      <c r="E5" s="171" t="s">
        <v>70</v>
      </c>
      <c r="F5" s="139">
        <v>101.875</v>
      </c>
      <c r="J5" s="169" t="s">
        <v>40</v>
      </c>
      <c r="K5" s="41">
        <v>10</v>
      </c>
      <c r="L5" s="41">
        <v>0</v>
      </c>
      <c r="M5" s="41">
        <v>0</v>
      </c>
      <c r="N5" s="41">
        <v>0</v>
      </c>
      <c r="O5" s="41">
        <v>0</v>
      </c>
      <c r="P5" s="41">
        <v>0</v>
      </c>
      <c r="Q5" s="41">
        <v>0</v>
      </c>
      <c r="R5" s="41">
        <v>0</v>
      </c>
      <c r="S5" s="41">
        <v>0</v>
      </c>
      <c r="T5" s="41">
        <v>0</v>
      </c>
      <c r="U5" s="41">
        <v>10</v>
      </c>
      <c r="V5" s="41"/>
    </row>
    <row r="6" spans="1:23" x14ac:dyDescent="0.3">
      <c r="A6" s="100" t="s">
        <v>13</v>
      </c>
      <c r="B6" s="136">
        <v>11</v>
      </c>
      <c r="C6" s="136">
        <v>0</v>
      </c>
      <c r="E6" s="171" t="s">
        <v>38</v>
      </c>
      <c r="F6" s="139">
        <f>ROUNDUP(SQRT(2*F2*C13/F3),0)</f>
        <v>10</v>
      </c>
      <c r="J6" s="169" t="s">
        <v>43</v>
      </c>
      <c r="K6" s="41"/>
      <c r="L6" s="41">
        <v>10</v>
      </c>
      <c r="M6" s="41">
        <v>0</v>
      </c>
      <c r="N6" s="41">
        <v>0</v>
      </c>
      <c r="O6" s="41">
        <v>0</v>
      </c>
      <c r="P6" s="41">
        <v>0</v>
      </c>
      <c r="Q6" s="41">
        <v>0</v>
      </c>
      <c r="R6" s="41">
        <v>0</v>
      </c>
      <c r="S6" s="41">
        <v>0</v>
      </c>
      <c r="T6" s="41">
        <v>0</v>
      </c>
      <c r="U6" s="41">
        <v>0</v>
      </c>
      <c r="V6" s="170">
        <v>10</v>
      </c>
      <c r="W6" s="146"/>
    </row>
    <row r="7" spans="1:23" x14ac:dyDescent="0.3">
      <c r="A7" s="100" t="s">
        <v>15</v>
      </c>
      <c r="B7" s="136">
        <v>0</v>
      </c>
      <c r="C7" s="136">
        <v>1.8333333329999999</v>
      </c>
      <c r="J7" s="169" t="s">
        <v>45</v>
      </c>
      <c r="K7" s="41"/>
      <c r="L7" s="41">
        <f>K5-L3</f>
        <v>10</v>
      </c>
      <c r="M7" s="41">
        <f t="shared" ref="M7:R7" si="0">L7+L5-M3</f>
        <v>10</v>
      </c>
      <c r="N7" s="41">
        <f t="shared" si="0"/>
        <v>10</v>
      </c>
      <c r="O7" s="41">
        <f t="shared" si="0"/>
        <v>10</v>
      </c>
      <c r="P7" s="41">
        <f t="shared" si="0"/>
        <v>10</v>
      </c>
      <c r="Q7" s="41">
        <f t="shared" si="0"/>
        <v>8</v>
      </c>
      <c r="R7" s="41">
        <f t="shared" si="0"/>
        <v>6</v>
      </c>
      <c r="S7" s="41">
        <f>R5+R7-S3</f>
        <v>4</v>
      </c>
      <c r="T7" s="41">
        <f>S5+S7-T3</f>
        <v>2</v>
      </c>
      <c r="U7" s="41">
        <f>T7+T5-U3</f>
        <v>0</v>
      </c>
      <c r="V7" s="41">
        <f>U5+U7-V3</f>
        <v>8</v>
      </c>
    </row>
    <row r="8" spans="1:23" x14ac:dyDescent="0.3">
      <c r="A8" s="100" t="s">
        <v>17</v>
      </c>
      <c r="B8" s="136">
        <v>0</v>
      </c>
      <c r="C8" s="136">
        <v>1.8333333329999999</v>
      </c>
    </row>
    <row r="9" spans="1:23" x14ac:dyDescent="0.3">
      <c r="A9" s="100" t="s">
        <v>19</v>
      </c>
      <c r="B9" s="136">
        <v>0</v>
      </c>
      <c r="C9" s="136">
        <v>1.8333333329999999</v>
      </c>
      <c r="J9" s="174" t="s">
        <v>129</v>
      </c>
      <c r="K9" s="41">
        <f>2*F2</f>
        <v>4600</v>
      </c>
    </row>
    <row r="10" spans="1:23" x14ac:dyDescent="0.3">
      <c r="A10" s="100" t="s">
        <v>21</v>
      </c>
      <c r="B10" s="136">
        <v>0</v>
      </c>
      <c r="C10" s="136">
        <v>1.8333333329999999</v>
      </c>
      <c r="J10" s="174" t="s">
        <v>149</v>
      </c>
      <c r="K10" s="41">
        <f>SUM(L7:V7)*F3</f>
        <v>3655.2750000000005</v>
      </c>
    </row>
    <row r="11" spans="1:23" x14ac:dyDescent="0.3">
      <c r="A11" s="100" t="s">
        <v>23</v>
      </c>
      <c r="B11" s="136">
        <v>0</v>
      </c>
      <c r="C11" s="136">
        <v>1.8333333329999999</v>
      </c>
      <c r="J11" s="174" t="s">
        <v>133</v>
      </c>
      <c r="K11" s="41">
        <f>SUM(K9:K10)</f>
        <v>8255.2750000000015</v>
      </c>
    </row>
    <row r="12" spans="1:23" x14ac:dyDescent="0.3">
      <c r="A12" s="100" t="s">
        <v>28</v>
      </c>
      <c r="B12" s="136">
        <v>0</v>
      </c>
      <c r="C12" s="136">
        <v>1.8333333329999999</v>
      </c>
      <c r="W12">
        <v>1</v>
      </c>
    </row>
    <row r="13" spans="1:23" x14ac:dyDescent="0.3">
      <c r="B13" t="s">
        <v>255</v>
      </c>
      <c r="C13">
        <f>AVERAGE(C2:C12)</f>
        <v>0.99999999981818177</v>
      </c>
    </row>
    <row r="16" spans="1:23" x14ac:dyDescent="0.3">
      <c r="C16">
        <f>ROUNDUP(C2,0)</f>
        <v>0</v>
      </c>
    </row>
    <row r="17" spans="3:23" x14ac:dyDescent="0.3">
      <c r="C17">
        <f t="shared" ref="C17:C26" si="1">ROUNDUP(C3,0)</f>
        <v>0</v>
      </c>
      <c r="H17" s="199" t="s">
        <v>246</v>
      </c>
      <c r="K17" s="144"/>
      <c r="L17" s="28"/>
      <c r="M17" s="28">
        <v>1</v>
      </c>
      <c r="N17" s="28">
        <v>2</v>
      </c>
      <c r="O17" s="28">
        <v>3</v>
      </c>
      <c r="P17" s="28">
        <v>4</v>
      </c>
      <c r="Q17" s="28">
        <v>5</v>
      </c>
      <c r="R17" s="28">
        <v>6</v>
      </c>
      <c r="S17" s="28">
        <v>7</v>
      </c>
      <c r="T17" s="28">
        <v>8</v>
      </c>
      <c r="U17" s="28">
        <v>9</v>
      </c>
      <c r="V17" s="28">
        <v>10</v>
      </c>
      <c r="W17" s="28">
        <v>11</v>
      </c>
    </row>
    <row r="18" spans="3:23" x14ac:dyDescent="0.3">
      <c r="C18">
        <f t="shared" si="1"/>
        <v>0</v>
      </c>
      <c r="K18" s="198" t="s">
        <v>246</v>
      </c>
      <c r="L18" s="143" t="s">
        <v>163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2</v>
      </c>
      <c r="S18" s="28">
        <v>2</v>
      </c>
      <c r="T18" s="28">
        <v>2</v>
      </c>
      <c r="U18" s="28">
        <v>2</v>
      </c>
      <c r="V18" s="28">
        <v>2</v>
      </c>
      <c r="W18" s="28">
        <v>2</v>
      </c>
    </row>
    <row r="19" spans="3:23" x14ac:dyDescent="0.3">
      <c r="C19">
        <f t="shared" si="1"/>
        <v>0</v>
      </c>
      <c r="K19" s="144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</row>
    <row r="20" spans="3:23" x14ac:dyDescent="0.3">
      <c r="C20">
        <f t="shared" si="1"/>
        <v>0</v>
      </c>
      <c r="K20" s="144"/>
      <c r="L20" s="28" t="s">
        <v>191</v>
      </c>
      <c r="M20" s="28">
        <f>F2/1</f>
        <v>2300</v>
      </c>
      <c r="N20" s="28"/>
      <c r="O20" s="28"/>
      <c r="P20" s="28"/>
      <c r="Q20" s="28"/>
      <c r="R20" s="28" t="s">
        <v>247</v>
      </c>
      <c r="S20" s="28" t="s">
        <v>81</v>
      </c>
      <c r="T20" s="28"/>
      <c r="U20" s="28"/>
      <c r="V20" s="28"/>
      <c r="W20" s="28"/>
    </row>
    <row r="21" spans="3:23" x14ac:dyDescent="0.3">
      <c r="C21">
        <f t="shared" si="1"/>
        <v>2</v>
      </c>
      <c r="K21" s="144"/>
      <c r="L21" s="28" t="s">
        <v>200</v>
      </c>
      <c r="M21" s="28">
        <f>(F2+1*F3*N18)/2</f>
        <v>1150</v>
      </c>
      <c r="N21" s="28"/>
      <c r="O21" s="28"/>
      <c r="P21" s="28"/>
      <c r="Q21" s="28">
        <v>1</v>
      </c>
      <c r="R21" s="28">
        <v>0</v>
      </c>
      <c r="S21" s="28">
        <v>0</v>
      </c>
      <c r="T21" s="28"/>
      <c r="U21" s="142" t="s">
        <v>129</v>
      </c>
      <c r="V21" s="185">
        <f>1*F2</f>
        <v>2300</v>
      </c>
      <c r="W21" s="28" t="s">
        <v>260</v>
      </c>
    </row>
    <row r="22" spans="3:23" x14ac:dyDescent="0.3">
      <c r="C22">
        <f t="shared" si="1"/>
        <v>2</v>
      </c>
      <c r="K22" s="144"/>
      <c r="L22" s="28" t="s">
        <v>210</v>
      </c>
      <c r="M22" s="28">
        <f>(F2+1*F3*N18+2*F3*O18)/3</f>
        <v>766.66666666666663</v>
      </c>
      <c r="N22" s="28"/>
      <c r="O22" s="28"/>
      <c r="P22" s="28"/>
      <c r="Q22" s="28">
        <v>2</v>
      </c>
      <c r="R22" s="28">
        <v>0</v>
      </c>
      <c r="S22" s="28">
        <v>0</v>
      </c>
      <c r="T22" s="28"/>
      <c r="U22" s="142" t="s">
        <v>149</v>
      </c>
      <c r="V22" s="28">
        <f>SUM(S21:S31)*F3</f>
        <v>1405.8750000000002</v>
      </c>
      <c r="W22" s="28"/>
    </row>
    <row r="23" spans="3:23" x14ac:dyDescent="0.3">
      <c r="C23">
        <f t="shared" si="1"/>
        <v>2</v>
      </c>
      <c r="K23" s="144"/>
      <c r="L23" s="28" t="s">
        <v>215</v>
      </c>
      <c r="M23" s="28">
        <f>(F2+1*F3*N18+2*F3*O18+3*F3*P18)/4</f>
        <v>575</v>
      </c>
      <c r="N23" s="28"/>
      <c r="O23" s="28"/>
      <c r="P23" s="28"/>
      <c r="Q23" s="28">
        <v>3</v>
      </c>
      <c r="R23" s="28">
        <v>0</v>
      </c>
      <c r="S23" s="28">
        <v>0</v>
      </c>
      <c r="T23" s="28"/>
      <c r="U23" s="142" t="s">
        <v>133</v>
      </c>
      <c r="V23" s="28">
        <f>SUM(V21:V22)</f>
        <v>3705.875</v>
      </c>
      <c r="W23" s="28"/>
    </row>
    <row r="24" spans="3:23" x14ac:dyDescent="0.3">
      <c r="C24">
        <f t="shared" si="1"/>
        <v>2</v>
      </c>
      <c r="K24" s="144"/>
      <c r="L24" s="28" t="s">
        <v>220</v>
      </c>
      <c r="M24" s="28">
        <f>(F2+1*F3*N18+2*F3*O18+3*F3*P18+4*F3*Q18)/5</f>
        <v>460</v>
      </c>
      <c r="N24" s="28"/>
      <c r="O24" s="28"/>
      <c r="P24" s="28"/>
      <c r="Q24" s="28">
        <v>4</v>
      </c>
      <c r="R24" s="28">
        <v>0</v>
      </c>
      <c r="S24" s="28">
        <v>0</v>
      </c>
      <c r="T24" s="28"/>
      <c r="U24" s="28"/>
      <c r="V24" s="28"/>
      <c r="W24" s="28"/>
    </row>
    <row r="25" spans="3:23" x14ac:dyDescent="0.3">
      <c r="C25">
        <f t="shared" si="1"/>
        <v>2</v>
      </c>
      <c r="K25" s="144"/>
      <c r="L25" s="28" t="s">
        <v>221</v>
      </c>
      <c r="M25" s="28">
        <f>(F2+1*F3*N18+2*F3*O18+3*F3*P18+4*F3*Q18+5*F3*R18)/6</f>
        <v>461.4375</v>
      </c>
      <c r="N25" s="28" t="s">
        <v>261</v>
      </c>
      <c r="O25" s="28"/>
      <c r="P25" s="28"/>
      <c r="Q25" s="28">
        <v>5</v>
      </c>
      <c r="R25" s="28">
        <v>0</v>
      </c>
      <c r="S25" s="28">
        <v>0</v>
      </c>
      <c r="T25" s="28"/>
      <c r="U25" s="28"/>
      <c r="V25" s="28"/>
      <c r="W25" s="28"/>
    </row>
    <row r="26" spans="3:23" x14ac:dyDescent="0.3">
      <c r="C26">
        <f t="shared" si="1"/>
        <v>2</v>
      </c>
      <c r="K26" s="144"/>
      <c r="L26" s="28"/>
      <c r="M26" s="28"/>
      <c r="N26" s="28" t="s">
        <v>126</v>
      </c>
      <c r="O26" s="28">
        <f>SUM(M18:Q18)</f>
        <v>0</v>
      </c>
      <c r="P26" s="28"/>
      <c r="Q26" s="28">
        <v>6</v>
      </c>
      <c r="R26" s="28">
        <f>SUM(R18:W18)</f>
        <v>12</v>
      </c>
      <c r="S26" s="28">
        <f>R26-R18</f>
        <v>10</v>
      </c>
      <c r="T26" s="28"/>
      <c r="U26" s="28"/>
      <c r="V26" s="28"/>
      <c r="W26" s="28"/>
    </row>
    <row r="27" spans="3:23" x14ac:dyDescent="0.3">
      <c r="K27" s="144"/>
      <c r="L27" s="28"/>
      <c r="M27" s="28"/>
      <c r="N27" s="28"/>
      <c r="O27" s="28"/>
      <c r="P27" s="28"/>
      <c r="Q27" s="28">
        <v>7</v>
      </c>
      <c r="R27" s="28">
        <v>0</v>
      </c>
      <c r="S27" s="28">
        <f>S26-S18</f>
        <v>8</v>
      </c>
      <c r="T27" s="28"/>
      <c r="U27" s="28"/>
      <c r="V27" s="28"/>
      <c r="W27" s="28"/>
    </row>
    <row r="28" spans="3:23" x14ac:dyDescent="0.3">
      <c r="K28" s="144"/>
      <c r="L28" s="28"/>
      <c r="M28" s="28"/>
      <c r="N28" s="28"/>
      <c r="O28" s="28"/>
      <c r="P28" s="28"/>
      <c r="Q28" s="28">
        <v>8</v>
      </c>
      <c r="R28" s="28">
        <v>0</v>
      </c>
      <c r="S28" s="28">
        <f>S27-T18</f>
        <v>6</v>
      </c>
      <c r="T28" s="28"/>
      <c r="U28" s="28"/>
      <c r="V28" s="28"/>
      <c r="W28" s="28"/>
    </row>
    <row r="29" spans="3:23" x14ac:dyDescent="0.3">
      <c r="C29">
        <v>0</v>
      </c>
      <c r="K29" s="144"/>
      <c r="L29" s="28" t="s">
        <v>191</v>
      </c>
      <c r="M29" s="28">
        <f>F2/1</f>
        <v>2300</v>
      </c>
      <c r="N29" s="28"/>
      <c r="O29" s="28"/>
      <c r="P29" s="28"/>
      <c r="Q29" s="28">
        <v>9</v>
      </c>
      <c r="R29" s="28">
        <v>0</v>
      </c>
      <c r="S29" s="28">
        <f>S28-U18</f>
        <v>4</v>
      </c>
      <c r="T29" s="28"/>
      <c r="U29" s="28"/>
      <c r="V29" s="28"/>
      <c r="W29" s="28"/>
    </row>
    <row r="30" spans="3:23" x14ac:dyDescent="0.3">
      <c r="C30">
        <v>0</v>
      </c>
      <c r="K30" s="144"/>
      <c r="L30" s="28" t="s">
        <v>200</v>
      </c>
      <c r="M30" s="28">
        <f>(F2+1*F3*S18)/2</f>
        <v>1196.8625</v>
      </c>
      <c r="N30" s="28"/>
      <c r="O30" s="28"/>
      <c r="P30" s="28"/>
      <c r="Q30" s="28">
        <v>10</v>
      </c>
      <c r="R30" s="28">
        <v>0</v>
      </c>
      <c r="S30" s="28">
        <f>S29-V18</f>
        <v>2</v>
      </c>
      <c r="T30" s="28"/>
      <c r="U30" s="28"/>
      <c r="V30" s="28"/>
      <c r="W30" s="28"/>
    </row>
    <row r="31" spans="3:23" x14ac:dyDescent="0.3">
      <c r="C31">
        <v>0</v>
      </c>
      <c r="K31" s="144"/>
      <c r="L31" s="28" t="s">
        <v>210</v>
      </c>
      <c r="M31" s="28">
        <f>(F2+1*F3*S18+2*F3*T18)/3</f>
        <v>860.39166666666654</v>
      </c>
      <c r="N31" s="28"/>
      <c r="O31" s="28"/>
      <c r="P31" s="28"/>
      <c r="Q31" s="28">
        <v>11</v>
      </c>
      <c r="R31" s="28">
        <v>0</v>
      </c>
      <c r="S31" s="28">
        <f>S30-W18</f>
        <v>0</v>
      </c>
      <c r="T31" s="28"/>
      <c r="U31" s="28"/>
      <c r="V31" s="28"/>
      <c r="W31" s="28"/>
    </row>
    <row r="32" spans="3:23" x14ac:dyDescent="0.3">
      <c r="C32">
        <v>0</v>
      </c>
      <c r="K32" s="144"/>
      <c r="L32" s="28" t="s">
        <v>215</v>
      </c>
      <c r="M32" s="28">
        <f>(F2+1*F3*S18+2*F3*T18+3*F3*U18)/4</f>
        <v>715.58749999999998</v>
      </c>
      <c r="N32" s="28"/>
      <c r="O32" s="28"/>
      <c r="P32" s="28"/>
      <c r="Q32" s="28"/>
      <c r="R32" s="28"/>
      <c r="S32" s="28"/>
      <c r="T32" s="28"/>
      <c r="U32" s="28"/>
      <c r="V32" s="28"/>
      <c r="W32" s="28"/>
    </row>
    <row r="33" spans="3:23" x14ac:dyDescent="0.3">
      <c r="C33">
        <v>0</v>
      </c>
      <c r="K33" s="144"/>
      <c r="L33" s="28" t="s">
        <v>220</v>
      </c>
      <c r="M33" s="28">
        <f>(F2+1*F3*S18+2*F3*T18+3*F3*U18+4*F3*V18)/5</f>
        <v>647.45000000000005</v>
      </c>
      <c r="N33" s="28" t="s">
        <v>145</v>
      </c>
      <c r="O33" s="28">
        <f>SUM(R18:W18)</f>
        <v>12</v>
      </c>
      <c r="P33" s="28"/>
      <c r="Q33" s="28"/>
      <c r="R33" s="28"/>
      <c r="S33" s="28"/>
      <c r="T33" s="28"/>
      <c r="U33" s="28"/>
      <c r="V33" s="28"/>
      <c r="W33" s="28"/>
    </row>
    <row r="34" spans="3:23" x14ac:dyDescent="0.3">
      <c r="C34">
        <v>2</v>
      </c>
      <c r="K34" s="144"/>
      <c r="L34" s="28" t="s">
        <v>221</v>
      </c>
      <c r="M34" s="28">
        <f>(F2+1*F3*S18+2*F3*T18+3*F3*U18+4*F3*V18+5*F3*W18)/6</f>
        <v>617.64583333333337</v>
      </c>
      <c r="N34" s="28"/>
      <c r="O34" s="28"/>
      <c r="P34" s="28"/>
      <c r="Q34" s="28"/>
      <c r="R34" s="28"/>
      <c r="S34" s="28"/>
      <c r="T34" s="28"/>
      <c r="U34" s="28"/>
      <c r="V34" s="28"/>
      <c r="W34" s="28"/>
    </row>
    <row r="35" spans="3:23" x14ac:dyDescent="0.3">
      <c r="C35">
        <v>2</v>
      </c>
    </row>
    <row r="36" spans="3:23" x14ac:dyDescent="0.3">
      <c r="C36">
        <v>2</v>
      </c>
    </row>
    <row r="37" spans="3:23" x14ac:dyDescent="0.3">
      <c r="C37">
        <v>2</v>
      </c>
    </row>
    <row r="38" spans="3:23" x14ac:dyDescent="0.3">
      <c r="C38">
        <v>2</v>
      </c>
    </row>
    <row r="39" spans="3:23" x14ac:dyDescent="0.3">
      <c r="C39">
        <v>2</v>
      </c>
    </row>
    <row r="40" spans="3:23" x14ac:dyDescent="0.3">
      <c r="L40" s="105"/>
      <c r="M40" s="105">
        <v>1</v>
      </c>
      <c r="N40" s="105">
        <v>2</v>
      </c>
      <c r="O40" s="105">
        <v>3</v>
      </c>
      <c r="P40" s="105">
        <v>4</v>
      </c>
      <c r="Q40" s="105">
        <v>5</v>
      </c>
      <c r="R40" s="105">
        <v>6</v>
      </c>
      <c r="S40" s="105">
        <v>7</v>
      </c>
      <c r="T40" s="105">
        <v>8</v>
      </c>
      <c r="U40" s="105">
        <v>9</v>
      </c>
      <c r="V40" s="105">
        <v>10</v>
      </c>
      <c r="W40" s="105">
        <v>11</v>
      </c>
    </row>
    <row r="41" spans="3:23" x14ac:dyDescent="0.3">
      <c r="H41" s="105" t="s">
        <v>96</v>
      </c>
      <c r="L41" s="145" t="s">
        <v>163</v>
      </c>
      <c r="M41" s="105">
        <v>0</v>
      </c>
      <c r="N41" s="105">
        <v>0</v>
      </c>
      <c r="O41" s="105">
        <v>0</v>
      </c>
      <c r="P41" s="105">
        <v>0</v>
      </c>
      <c r="Q41" s="105">
        <v>0</v>
      </c>
      <c r="R41" s="105">
        <v>2</v>
      </c>
      <c r="S41" s="105">
        <v>2</v>
      </c>
      <c r="T41" s="105">
        <v>2</v>
      </c>
      <c r="U41" s="105">
        <v>2</v>
      </c>
      <c r="V41" s="105">
        <v>2</v>
      </c>
      <c r="W41" s="105">
        <v>2</v>
      </c>
    </row>
    <row r="42" spans="3:23" x14ac:dyDescent="0.3">
      <c r="H42" s="139" t="s">
        <v>42</v>
      </c>
      <c r="I42" s="139">
        <v>2300</v>
      </c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</row>
    <row r="43" spans="3:23" x14ac:dyDescent="0.3">
      <c r="H43" s="139" t="s">
        <v>73</v>
      </c>
      <c r="I43" s="139">
        <f>I44*I45</f>
        <v>46.862500000000004</v>
      </c>
      <c r="L43" s="105" t="s">
        <v>191</v>
      </c>
      <c r="M43" s="105" t="e">
        <f>I42/M41</f>
        <v>#DIV/0!</v>
      </c>
      <c r="N43" s="105"/>
      <c r="O43" s="105"/>
      <c r="P43" s="105"/>
      <c r="Q43" s="105"/>
      <c r="R43" s="105" t="s">
        <v>247</v>
      </c>
      <c r="S43" s="105" t="s">
        <v>81</v>
      </c>
      <c r="T43" s="105"/>
      <c r="U43" s="105"/>
      <c r="V43" s="105"/>
      <c r="W43" s="105"/>
    </row>
    <row r="44" spans="3:23" x14ac:dyDescent="0.3">
      <c r="H44" s="139" t="s">
        <v>3</v>
      </c>
      <c r="I44" s="139">
        <v>0.46</v>
      </c>
      <c r="L44" s="105" t="s">
        <v>200</v>
      </c>
      <c r="M44" s="105" t="e">
        <f>I43/M42</f>
        <v>#DIV/0!</v>
      </c>
      <c r="N44" s="105"/>
      <c r="O44" s="105"/>
      <c r="P44" s="105"/>
      <c r="Q44" s="105">
        <v>1</v>
      </c>
      <c r="R44" s="105">
        <f>SUM(M41:W41)</f>
        <v>12</v>
      </c>
      <c r="S44" s="105">
        <f>R44-M41</f>
        <v>12</v>
      </c>
      <c r="T44" s="105"/>
      <c r="U44" s="105"/>
      <c r="V44" s="105"/>
      <c r="W44" s="105"/>
    </row>
    <row r="45" spans="3:23" x14ac:dyDescent="0.3">
      <c r="H45" s="139" t="s">
        <v>70</v>
      </c>
      <c r="I45" s="139">
        <v>101.875</v>
      </c>
      <c r="L45" s="105" t="s">
        <v>210</v>
      </c>
      <c r="M45" s="105" t="e">
        <f>I44/M43</f>
        <v>#DIV/0!</v>
      </c>
      <c r="N45" s="105"/>
      <c r="O45" s="105"/>
      <c r="P45" s="105"/>
      <c r="Q45" s="105">
        <v>2</v>
      </c>
      <c r="R45" s="105">
        <v>0</v>
      </c>
      <c r="S45" s="105">
        <f>S44-N41</f>
        <v>12</v>
      </c>
      <c r="T45" s="105"/>
      <c r="U45" s="140" t="s">
        <v>129</v>
      </c>
      <c r="V45" s="105">
        <f>1*I42</f>
        <v>2300</v>
      </c>
      <c r="W45" s="105"/>
    </row>
    <row r="46" spans="3:23" x14ac:dyDescent="0.3">
      <c r="L46" s="105" t="s">
        <v>215</v>
      </c>
      <c r="M46" s="105" t="e">
        <f>I45/M44</f>
        <v>#DIV/0!</v>
      </c>
      <c r="N46" s="105"/>
      <c r="O46" s="105"/>
      <c r="P46" s="105"/>
      <c r="Q46" s="105">
        <v>3</v>
      </c>
      <c r="R46" s="105">
        <v>0</v>
      </c>
      <c r="S46" s="105">
        <f>S45-O41</f>
        <v>12</v>
      </c>
      <c r="T46" s="105"/>
      <c r="U46" s="140" t="s">
        <v>149</v>
      </c>
      <c r="V46" s="105">
        <f>SUM(S44:S54)*I43</f>
        <v>4217.625</v>
      </c>
      <c r="W46" s="105"/>
    </row>
    <row r="47" spans="3:23" x14ac:dyDescent="0.3">
      <c r="L47" s="105" t="s">
        <v>220</v>
      </c>
      <c r="M47" s="105" t="e">
        <f>I46/M45</f>
        <v>#DIV/0!</v>
      </c>
      <c r="N47" s="105"/>
      <c r="O47" s="105"/>
      <c r="P47" s="105"/>
      <c r="Q47" s="105">
        <v>4</v>
      </c>
      <c r="R47" s="105">
        <v>0</v>
      </c>
      <c r="S47" s="105">
        <f>S46-P41</f>
        <v>12</v>
      </c>
      <c r="T47" s="105"/>
      <c r="U47" s="140" t="s">
        <v>133</v>
      </c>
      <c r="V47" s="105">
        <f>SUM(V45:V46)</f>
        <v>6517.625</v>
      </c>
      <c r="W47" s="105"/>
    </row>
    <row r="48" spans="3:23" x14ac:dyDescent="0.3">
      <c r="L48" s="105" t="s">
        <v>221</v>
      </c>
      <c r="M48" s="105">
        <f>(I42+1*I43*N41+2*I43*O41+3*I43*P41+4*I43*Q41+5*I43*R41)/SUM(M41:R41)</f>
        <v>1384.3125</v>
      </c>
      <c r="N48" s="186" t="s">
        <v>262</v>
      </c>
      <c r="O48" s="105"/>
      <c r="P48" s="105"/>
      <c r="Q48" s="105">
        <v>5</v>
      </c>
      <c r="R48" s="105">
        <v>0</v>
      </c>
      <c r="S48" s="105">
        <f>S47-Q41</f>
        <v>12</v>
      </c>
      <c r="T48" s="105"/>
      <c r="U48" s="105"/>
      <c r="V48" s="105"/>
      <c r="W48" s="105"/>
    </row>
    <row r="49" spans="8:23" x14ac:dyDescent="0.3">
      <c r="L49" s="105" t="s">
        <v>222</v>
      </c>
      <c r="M49" s="105">
        <f>(I42+1*I43*N41+2*I43*O41+3*I43*P41+4*I43*Q41+5*I43*R41+6*I43*S41)/SUM(M41:S41)</f>
        <v>832.74374999999998</v>
      </c>
      <c r="N49" s="105"/>
      <c r="O49" s="105"/>
      <c r="P49" s="105"/>
      <c r="Q49" s="105">
        <v>6</v>
      </c>
      <c r="R49" s="105">
        <v>0</v>
      </c>
      <c r="S49" s="105">
        <f>S48-R41</f>
        <v>10</v>
      </c>
      <c r="T49" s="105"/>
      <c r="U49" s="105"/>
      <c r="V49" s="105"/>
      <c r="W49" s="105"/>
    </row>
    <row r="50" spans="8:23" x14ac:dyDescent="0.3">
      <c r="L50" s="105" t="s">
        <v>258</v>
      </c>
      <c r="M50" s="105">
        <f>(I42+1*I43*N41+2*I43*O41+3*I43*P41+4*I43*Q41+5*I43*R41+6*I43*S41+7*I43*T41)/SUM(M41:T41)</f>
        <v>664.50833333333333</v>
      </c>
      <c r="N50" s="105"/>
      <c r="O50" s="105"/>
      <c r="P50" s="105"/>
      <c r="Q50" s="105">
        <v>7</v>
      </c>
      <c r="R50" s="105">
        <v>0</v>
      </c>
      <c r="S50" s="105">
        <f>S49-S41</f>
        <v>8</v>
      </c>
      <c r="T50" s="105"/>
      <c r="U50" s="105"/>
      <c r="V50" s="105"/>
      <c r="W50" s="105"/>
    </row>
    <row r="51" spans="8:23" x14ac:dyDescent="0.3">
      <c r="L51" s="105" t="s">
        <v>263</v>
      </c>
      <c r="M51" s="105">
        <f>(I42+1*I43*N41+2*I43*O41+3*I43*P41+4*I43*Q41+5*I43*R41+6*I43*S41+7*I43*T41+8*I43*U41)/SUM(M41:U41)</f>
        <v>592.10625000000005</v>
      </c>
      <c r="N51" s="105"/>
      <c r="O51" s="105"/>
      <c r="P51" s="105"/>
      <c r="Q51" s="105">
        <v>8</v>
      </c>
      <c r="R51" s="105">
        <v>0</v>
      </c>
      <c r="S51" s="105">
        <f>S50-T41</f>
        <v>6</v>
      </c>
      <c r="T51" s="105"/>
      <c r="U51" s="105"/>
      <c r="V51" s="105"/>
      <c r="W51" s="105"/>
    </row>
    <row r="52" spans="8:23" x14ac:dyDescent="0.3">
      <c r="L52" s="105" t="s">
        <v>264</v>
      </c>
      <c r="M52" s="105">
        <f>(I42+1*I43*N41+2*I43*O41+3*I43*P41+4*I43*Q41+5*I43*R41+6*I43*S41+7*I43*T41+8*I43*U41+9*I43*V41)/SUM(M41:V41)</f>
        <v>558.03750000000002</v>
      </c>
      <c r="N52" s="105"/>
      <c r="O52" s="105"/>
      <c r="P52" s="105"/>
      <c r="Q52" s="105">
        <v>9</v>
      </c>
      <c r="R52" s="105">
        <v>0</v>
      </c>
      <c r="S52" s="105">
        <f>S51-U41</f>
        <v>4</v>
      </c>
      <c r="T52" s="105"/>
      <c r="U52" s="105"/>
      <c r="V52" s="105"/>
      <c r="W52" s="105"/>
    </row>
    <row r="53" spans="8:23" x14ac:dyDescent="0.3">
      <c r="L53" s="105" t="s">
        <v>265</v>
      </c>
      <c r="M53" s="105">
        <f>(I42+1*I43*N41+2*I43*O41+3*I43*P41+4*I43*Q41+5*I43*R41+6*I43*S41+7*I43*T41+8*I43*U41+9*I43*V41+10*I43*W41)/SUM(M41:W41)</f>
        <v>543.13541666666663</v>
      </c>
      <c r="N53" s="105" t="s">
        <v>126</v>
      </c>
      <c r="O53" s="105">
        <f>SUM(M41:W41)</f>
        <v>12</v>
      </c>
      <c r="P53" s="105"/>
      <c r="Q53" s="105">
        <v>10</v>
      </c>
      <c r="R53" s="105">
        <v>0</v>
      </c>
      <c r="S53" s="105">
        <f>S52-V41</f>
        <v>2</v>
      </c>
      <c r="T53" s="105"/>
      <c r="U53" s="105"/>
      <c r="V53" s="105"/>
      <c r="W53" s="105"/>
    </row>
    <row r="54" spans="8:23" x14ac:dyDescent="0.3">
      <c r="L54" s="105"/>
      <c r="M54" s="105"/>
      <c r="N54" s="105"/>
      <c r="O54" s="105"/>
      <c r="P54" s="105"/>
      <c r="Q54" s="105">
        <v>11</v>
      </c>
      <c r="R54" s="105">
        <v>0</v>
      </c>
      <c r="S54" s="105">
        <f>S53-W41</f>
        <v>0</v>
      </c>
      <c r="T54" s="105"/>
      <c r="U54" s="105"/>
      <c r="V54" s="105"/>
      <c r="W54" s="105"/>
    </row>
    <row r="61" spans="8:23" x14ac:dyDescent="0.3">
      <c r="H61" s="47" t="s">
        <v>164</v>
      </c>
      <c r="L61" s="47"/>
      <c r="M61" s="47">
        <v>1</v>
      </c>
      <c r="N61" s="47">
        <v>2</v>
      </c>
      <c r="O61" s="47">
        <v>3</v>
      </c>
      <c r="P61" s="47">
        <v>4</v>
      </c>
      <c r="Q61" s="47">
        <v>5</v>
      </c>
      <c r="R61" s="47">
        <v>6</v>
      </c>
      <c r="S61" s="47">
        <v>7</v>
      </c>
      <c r="T61" s="47">
        <v>8</v>
      </c>
      <c r="U61" s="47">
        <v>9</v>
      </c>
      <c r="V61" s="47">
        <v>10</v>
      </c>
      <c r="W61" s="47">
        <v>11</v>
      </c>
    </row>
    <row r="62" spans="8:23" x14ac:dyDescent="0.3">
      <c r="H62" s="139" t="s">
        <v>42</v>
      </c>
      <c r="I62" s="139">
        <v>2300</v>
      </c>
      <c r="L62" s="168" t="s">
        <v>163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2</v>
      </c>
      <c r="S62" s="47">
        <v>2</v>
      </c>
      <c r="T62" s="47">
        <v>2</v>
      </c>
      <c r="U62" s="47">
        <v>2</v>
      </c>
      <c r="V62" s="47">
        <v>2</v>
      </c>
      <c r="W62" s="47">
        <v>2</v>
      </c>
    </row>
    <row r="63" spans="8:23" x14ac:dyDescent="0.3">
      <c r="H63" s="139" t="s">
        <v>73</v>
      </c>
      <c r="I63" s="139">
        <f>I64*I65</f>
        <v>46.862500000000004</v>
      </c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</row>
    <row r="64" spans="8:23" x14ac:dyDescent="0.3">
      <c r="H64" s="139" t="s">
        <v>3</v>
      </c>
      <c r="I64" s="139">
        <v>0.46</v>
      </c>
      <c r="L64" s="47" t="s">
        <v>191</v>
      </c>
      <c r="M64" s="47">
        <f>0</f>
        <v>0</v>
      </c>
      <c r="N64" s="47"/>
      <c r="O64" s="47"/>
      <c r="P64" s="47"/>
      <c r="Q64" s="47"/>
      <c r="R64" s="47" t="s">
        <v>247</v>
      </c>
      <c r="S64" s="47" t="s">
        <v>81</v>
      </c>
      <c r="T64" s="47"/>
      <c r="U64" s="47"/>
      <c r="V64" s="47"/>
      <c r="W64" s="47"/>
    </row>
    <row r="65" spans="8:23" x14ac:dyDescent="0.3">
      <c r="H65" s="139" t="s">
        <v>70</v>
      </c>
      <c r="I65" s="139">
        <v>101.875</v>
      </c>
      <c r="L65" s="47" t="s">
        <v>200</v>
      </c>
      <c r="M65" s="47">
        <f>1*I63*N62</f>
        <v>0</v>
      </c>
      <c r="N65" s="47"/>
      <c r="O65" s="47"/>
      <c r="P65" s="47"/>
      <c r="Q65" s="47">
        <v>1</v>
      </c>
      <c r="R65" s="47">
        <f>SUM(M62:U62)</f>
        <v>8</v>
      </c>
      <c r="S65" s="47">
        <f>R65-M62</f>
        <v>8</v>
      </c>
      <c r="T65" s="47"/>
      <c r="U65" s="47"/>
      <c r="V65" s="47"/>
      <c r="W65" s="47"/>
    </row>
    <row r="66" spans="8:23" x14ac:dyDescent="0.3">
      <c r="L66" s="47" t="s">
        <v>210</v>
      </c>
      <c r="M66" s="47">
        <f>M65+2*I63*O62</f>
        <v>0</v>
      </c>
      <c r="N66" s="47"/>
      <c r="O66" s="47"/>
      <c r="P66" s="47"/>
      <c r="Q66" s="47">
        <v>2</v>
      </c>
      <c r="R66" s="47">
        <v>0</v>
      </c>
      <c r="S66" s="47">
        <f>S65-N62</f>
        <v>8</v>
      </c>
      <c r="T66" s="47"/>
      <c r="U66" s="187" t="s">
        <v>129</v>
      </c>
      <c r="V66" s="47">
        <f>2*I62</f>
        <v>4600</v>
      </c>
      <c r="W66" s="47"/>
    </row>
    <row r="67" spans="8:23" x14ac:dyDescent="0.3">
      <c r="L67" s="47" t="s">
        <v>215</v>
      </c>
      <c r="M67" s="47">
        <f>M66+3*I63*P62</f>
        <v>0</v>
      </c>
      <c r="N67" s="47"/>
      <c r="O67" s="47"/>
      <c r="P67" s="47"/>
      <c r="Q67" s="47">
        <v>3</v>
      </c>
      <c r="R67" s="47">
        <v>0</v>
      </c>
      <c r="S67" s="47">
        <f>S66-O62</f>
        <v>8</v>
      </c>
      <c r="T67" s="47"/>
      <c r="U67" s="187" t="s">
        <v>149</v>
      </c>
      <c r="V67" s="47">
        <f>SUM(S65:S75)*I63</f>
        <v>2530.5750000000003</v>
      </c>
      <c r="W67" s="47"/>
    </row>
    <row r="68" spans="8:23" x14ac:dyDescent="0.3">
      <c r="L68" s="47" t="s">
        <v>220</v>
      </c>
      <c r="M68" s="47">
        <f>M67+4*I63*Q62</f>
        <v>0</v>
      </c>
      <c r="N68" s="47"/>
      <c r="O68" s="47"/>
      <c r="P68" s="47"/>
      <c r="Q68" s="47">
        <v>4</v>
      </c>
      <c r="R68" s="47">
        <v>0</v>
      </c>
      <c r="S68" s="47">
        <f>S67-P62</f>
        <v>8</v>
      </c>
      <c r="T68" s="47"/>
      <c r="U68" s="187" t="s">
        <v>133</v>
      </c>
      <c r="V68" s="47">
        <f>SUM(V66:V67)</f>
        <v>7130.5750000000007</v>
      </c>
      <c r="W68" s="47"/>
    </row>
    <row r="69" spans="8:23" x14ac:dyDescent="0.3">
      <c r="L69" s="47" t="s">
        <v>221</v>
      </c>
      <c r="M69" s="47">
        <f>M68+5*I63*R62</f>
        <v>468.62500000000006</v>
      </c>
      <c r="N69" s="47"/>
      <c r="O69" s="47"/>
      <c r="P69" s="47"/>
      <c r="Q69" s="47">
        <v>5</v>
      </c>
      <c r="R69" s="47">
        <v>0</v>
      </c>
      <c r="S69" s="47">
        <f>S68-Q62</f>
        <v>8</v>
      </c>
      <c r="T69" s="47"/>
      <c r="U69" s="47"/>
      <c r="V69" s="47"/>
      <c r="W69" s="47"/>
    </row>
    <row r="70" spans="8:23" x14ac:dyDescent="0.3">
      <c r="L70" s="47" t="s">
        <v>222</v>
      </c>
      <c r="M70" s="47">
        <f>M69+6*I63*S62</f>
        <v>1030.9750000000001</v>
      </c>
      <c r="N70" s="47"/>
      <c r="O70" s="47"/>
      <c r="P70" s="47"/>
      <c r="Q70" s="47">
        <v>6</v>
      </c>
      <c r="R70" s="47">
        <v>0</v>
      </c>
      <c r="S70" s="47">
        <f>S69-R62</f>
        <v>6</v>
      </c>
      <c r="T70" s="47"/>
      <c r="U70" s="47"/>
      <c r="V70" s="47"/>
      <c r="W70" s="47"/>
    </row>
    <row r="71" spans="8:23" x14ac:dyDescent="0.3">
      <c r="L71" s="47" t="s">
        <v>258</v>
      </c>
      <c r="M71" s="47">
        <f>M70+7*I63*T62</f>
        <v>1687.0500000000002</v>
      </c>
      <c r="N71" s="47"/>
      <c r="O71" s="47"/>
      <c r="P71" s="47"/>
      <c r="Q71" s="47">
        <v>7</v>
      </c>
      <c r="R71" s="47">
        <v>0</v>
      </c>
      <c r="S71" s="47">
        <f>S70-S62</f>
        <v>4</v>
      </c>
      <c r="T71" s="47"/>
      <c r="U71" s="47"/>
      <c r="V71" s="47"/>
      <c r="W71" s="47"/>
    </row>
    <row r="72" spans="8:23" x14ac:dyDescent="0.3">
      <c r="L72" s="47" t="s">
        <v>263</v>
      </c>
      <c r="M72" s="47">
        <f>M71+8*I63*U62</f>
        <v>2436.8500000000004</v>
      </c>
      <c r="N72" s="47" t="s">
        <v>105</v>
      </c>
      <c r="O72" s="47"/>
      <c r="P72" s="47"/>
      <c r="Q72" s="47">
        <v>8</v>
      </c>
      <c r="R72" s="47">
        <v>0</v>
      </c>
      <c r="S72" s="47">
        <f>S71-T62</f>
        <v>2</v>
      </c>
      <c r="T72" s="47"/>
      <c r="U72" s="47"/>
      <c r="V72" s="47"/>
      <c r="W72" s="47"/>
    </row>
    <row r="73" spans="8:23" x14ac:dyDescent="0.3">
      <c r="L73" s="47"/>
      <c r="M73" s="47"/>
      <c r="N73" s="47" t="s">
        <v>126</v>
      </c>
      <c r="O73" s="47">
        <f>SUM(M62:U62)</f>
        <v>8</v>
      </c>
      <c r="P73" s="47"/>
      <c r="Q73" s="47">
        <v>9</v>
      </c>
      <c r="R73" s="47">
        <v>0</v>
      </c>
      <c r="S73" s="47">
        <f>S72-U62</f>
        <v>0</v>
      </c>
      <c r="T73" s="47"/>
      <c r="U73" s="47"/>
      <c r="V73" s="47"/>
      <c r="W73" s="47"/>
    </row>
    <row r="74" spans="8:23" x14ac:dyDescent="0.3">
      <c r="L74" s="47"/>
      <c r="M74" s="47"/>
      <c r="N74" s="47"/>
      <c r="O74" s="47"/>
      <c r="P74" s="47"/>
      <c r="Q74" s="47">
        <v>10</v>
      </c>
      <c r="R74" s="47">
        <f>SUM(V62:W62)</f>
        <v>4</v>
      </c>
      <c r="S74" s="47">
        <f>R74-V62</f>
        <v>2</v>
      </c>
      <c r="T74" s="47"/>
      <c r="U74" s="47"/>
      <c r="V74" s="47"/>
      <c r="W74" s="47"/>
    </row>
    <row r="75" spans="8:23" x14ac:dyDescent="0.3">
      <c r="L75" s="47"/>
      <c r="M75" s="47"/>
      <c r="N75" s="47"/>
      <c r="O75" s="47"/>
      <c r="P75" s="47"/>
      <c r="Q75" s="47">
        <v>11</v>
      </c>
      <c r="R75" s="47">
        <v>0</v>
      </c>
      <c r="S75" s="47">
        <f>S74-W62</f>
        <v>0</v>
      </c>
      <c r="T75" s="47"/>
      <c r="U75" s="47"/>
      <c r="V75" s="47"/>
      <c r="W75" s="47"/>
    </row>
    <row r="76" spans="8:23" x14ac:dyDescent="0.3">
      <c r="L76" s="47" t="s">
        <v>191</v>
      </c>
      <c r="M76" s="47">
        <f>0</f>
        <v>0</v>
      </c>
      <c r="N76" s="47"/>
      <c r="O76" s="47"/>
      <c r="P76" s="47"/>
      <c r="Q76" s="47"/>
      <c r="R76" s="47"/>
      <c r="S76" s="47"/>
      <c r="T76" s="47"/>
      <c r="U76" s="47"/>
      <c r="V76" s="47"/>
      <c r="W76" s="47"/>
    </row>
    <row r="77" spans="8:23" x14ac:dyDescent="0.3">
      <c r="L77" s="47" t="s">
        <v>200</v>
      </c>
      <c r="M77" s="47">
        <f>1*I63*W62</f>
        <v>93.725000000000009</v>
      </c>
      <c r="N77" s="47" t="s">
        <v>145</v>
      </c>
      <c r="O77" s="47">
        <f>SUM(V62:W62)</f>
        <v>4</v>
      </c>
      <c r="P77" s="47"/>
      <c r="Q77" s="47"/>
      <c r="R77" s="47"/>
      <c r="S77" s="47"/>
      <c r="T77" s="47"/>
      <c r="U77" s="47"/>
      <c r="V77" s="47"/>
      <c r="W77" s="4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3B01-2B04-4066-8DB6-5DCD093ED291}">
  <dimension ref="A2:AZ42"/>
  <sheetViews>
    <sheetView topLeftCell="E1" zoomScale="76" workbookViewId="0">
      <selection activeCell="T9" sqref="T9"/>
    </sheetView>
  </sheetViews>
  <sheetFormatPr defaultColWidth="8.77734375" defaultRowHeight="14.4" x14ac:dyDescent="0.3"/>
  <cols>
    <col min="6" max="6" width="11.6640625" bestFit="1" customWidth="1"/>
    <col min="8" max="8" width="19.109375" customWidth="1"/>
    <col min="9" max="9" width="12.6640625" bestFit="1" customWidth="1"/>
    <col min="10" max="10" width="10.109375" bestFit="1" customWidth="1"/>
    <col min="11" max="11" width="11.33203125" bestFit="1" customWidth="1"/>
    <col min="12" max="12" width="9" bestFit="1" customWidth="1"/>
    <col min="15" max="15" width="11.77734375" customWidth="1"/>
    <col min="16" max="16" width="12.33203125" customWidth="1"/>
    <col min="17" max="17" width="9.44140625" bestFit="1" customWidth="1"/>
    <col min="18" max="18" width="13.33203125" bestFit="1" customWidth="1"/>
    <col min="19" max="19" width="10.44140625" bestFit="1" customWidth="1"/>
    <col min="20" max="20" width="12.44140625" bestFit="1" customWidth="1"/>
    <col min="22" max="22" width="12.6640625" customWidth="1"/>
    <col min="23" max="23" width="15.77734375" bestFit="1" customWidth="1"/>
    <col min="25" max="25" width="11.44140625" customWidth="1"/>
  </cols>
  <sheetData>
    <row r="2" spans="1:52" x14ac:dyDescent="0.3">
      <c r="A2" s="3" t="s">
        <v>266</v>
      </c>
      <c r="B2" s="225" t="s">
        <v>1</v>
      </c>
      <c r="C2" s="225" t="s">
        <v>2</v>
      </c>
    </row>
    <row r="3" spans="1:52" ht="15.6" x14ac:dyDescent="0.3">
      <c r="A3" s="226" t="s">
        <v>5</v>
      </c>
      <c r="B3" s="227">
        <v>17</v>
      </c>
      <c r="C3" s="103">
        <v>54</v>
      </c>
      <c r="H3" s="445" t="s">
        <v>26</v>
      </c>
      <c r="I3" s="447" t="s">
        <v>27</v>
      </c>
      <c r="J3" s="453" t="s">
        <v>5</v>
      </c>
      <c r="K3" s="453" t="s">
        <v>7</v>
      </c>
      <c r="L3" s="453" t="s">
        <v>9</v>
      </c>
      <c r="M3" s="453" t="s">
        <v>11</v>
      </c>
      <c r="N3" s="453" t="s">
        <v>13</v>
      </c>
      <c r="O3" s="453" t="s">
        <v>15</v>
      </c>
      <c r="P3" s="453" t="s">
        <v>17</v>
      </c>
      <c r="Q3" s="453" t="s">
        <v>19</v>
      </c>
      <c r="R3" s="453" t="s">
        <v>21</v>
      </c>
      <c r="S3" s="453" t="s">
        <v>23</v>
      </c>
      <c r="T3" s="453" t="s">
        <v>28</v>
      </c>
      <c r="V3" s="455" t="s">
        <v>29</v>
      </c>
      <c r="W3" s="456">
        <f>3*B15</f>
        <v>6900</v>
      </c>
    </row>
    <row r="4" spans="1:52" ht="15.6" x14ac:dyDescent="0.3">
      <c r="A4" s="226" t="s">
        <v>7</v>
      </c>
      <c r="B4" s="227">
        <v>19</v>
      </c>
      <c r="C4" s="104">
        <v>28</v>
      </c>
      <c r="H4" s="173" t="s">
        <v>32</v>
      </c>
      <c r="I4" s="109"/>
      <c r="J4" s="451">
        <v>54</v>
      </c>
      <c r="K4" s="452">
        <v>28</v>
      </c>
      <c r="L4" s="452">
        <v>22</v>
      </c>
      <c r="M4" s="451">
        <v>21</v>
      </c>
      <c r="N4" s="451">
        <v>24</v>
      </c>
      <c r="O4" s="451">
        <v>18</v>
      </c>
      <c r="P4" s="451">
        <v>21</v>
      </c>
      <c r="Q4" s="451">
        <v>15</v>
      </c>
      <c r="R4" s="451">
        <v>22</v>
      </c>
      <c r="S4" s="451">
        <v>14</v>
      </c>
      <c r="T4" s="451">
        <v>7</v>
      </c>
      <c r="V4" s="457" t="s">
        <v>33</v>
      </c>
      <c r="W4" s="456">
        <f>SUM(J8:T8)*B17</f>
        <v>6433.56</v>
      </c>
    </row>
    <row r="5" spans="1:52" ht="15.6" x14ac:dyDescent="0.3">
      <c r="A5" s="226" t="s">
        <v>9</v>
      </c>
      <c r="B5" s="227">
        <v>20</v>
      </c>
      <c r="C5" s="104">
        <v>22</v>
      </c>
      <c r="F5" s="456" t="s">
        <v>40</v>
      </c>
      <c r="H5" s="173" t="s">
        <v>35</v>
      </c>
      <c r="I5" s="451">
        <v>54</v>
      </c>
      <c r="J5" s="452">
        <v>28</v>
      </c>
      <c r="K5" s="452">
        <v>22</v>
      </c>
      <c r="L5" s="451">
        <v>21</v>
      </c>
      <c r="M5" s="451">
        <v>24</v>
      </c>
      <c r="N5" s="451">
        <v>18</v>
      </c>
      <c r="O5" s="451">
        <v>21</v>
      </c>
      <c r="P5" s="451">
        <v>15</v>
      </c>
      <c r="Q5" s="451">
        <v>22</v>
      </c>
      <c r="R5" s="451">
        <v>14</v>
      </c>
      <c r="S5" s="451">
        <v>7</v>
      </c>
      <c r="T5" s="109"/>
      <c r="V5" s="457" t="s">
        <v>36</v>
      </c>
      <c r="W5" s="456">
        <f>SUM(W3:W4)</f>
        <v>13333.560000000001</v>
      </c>
    </row>
    <row r="6" spans="1:52" ht="15.6" x14ac:dyDescent="0.3">
      <c r="A6" s="226" t="s">
        <v>11</v>
      </c>
      <c r="B6" s="227">
        <v>25</v>
      </c>
      <c r="C6" s="103">
        <v>21</v>
      </c>
      <c r="H6" s="173" t="s">
        <v>40</v>
      </c>
      <c r="I6" s="109">
        <f>ROUNDUP(SQRT(2*B14*B15/B17),0)</f>
        <v>92</v>
      </c>
      <c r="J6" s="109">
        <v>0</v>
      </c>
      <c r="K6" s="109">
        <v>92</v>
      </c>
      <c r="L6" s="109">
        <v>0</v>
      </c>
      <c r="M6" s="109">
        <v>0</v>
      </c>
      <c r="N6" s="109">
        <v>0</v>
      </c>
      <c r="O6" s="109">
        <v>92</v>
      </c>
      <c r="P6" s="109">
        <v>0</v>
      </c>
      <c r="Q6" s="109">
        <v>0</v>
      </c>
      <c r="R6" s="109">
        <v>0</v>
      </c>
      <c r="S6" s="109">
        <v>0</v>
      </c>
      <c r="T6" s="109"/>
    </row>
    <row r="7" spans="1:52" ht="15.6" x14ac:dyDescent="0.3">
      <c r="A7" s="226" t="s">
        <v>13</v>
      </c>
      <c r="B7" s="227">
        <v>15</v>
      </c>
      <c r="C7" s="103">
        <v>24</v>
      </c>
      <c r="H7" s="173" t="s">
        <v>43</v>
      </c>
      <c r="I7" s="109"/>
      <c r="J7" s="109">
        <v>92</v>
      </c>
      <c r="K7" s="109">
        <v>0</v>
      </c>
      <c r="L7" s="109">
        <v>92</v>
      </c>
      <c r="M7" s="109">
        <v>0</v>
      </c>
      <c r="N7" s="109">
        <v>0</v>
      </c>
      <c r="O7" s="109">
        <v>0</v>
      </c>
      <c r="P7" s="109">
        <v>92</v>
      </c>
      <c r="Q7" s="109">
        <v>0</v>
      </c>
      <c r="R7" s="109">
        <v>0</v>
      </c>
      <c r="S7" s="109">
        <v>0</v>
      </c>
      <c r="T7" s="109">
        <v>0</v>
      </c>
    </row>
    <row r="8" spans="1:52" ht="15.6" x14ac:dyDescent="0.3">
      <c r="A8" s="226" t="s">
        <v>15</v>
      </c>
      <c r="B8" s="227">
        <v>22</v>
      </c>
      <c r="C8" s="103">
        <v>18</v>
      </c>
      <c r="H8" s="446" t="s">
        <v>45</v>
      </c>
      <c r="I8" s="413"/>
      <c r="J8" s="454">
        <f>I6-J4</f>
        <v>38</v>
      </c>
      <c r="K8" s="454">
        <f t="shared" ref="K8:T8" si="0">J8+J6-K4</f>
        <v>10</v>
      </c>
      <c r="L8" s="454">
        <f t="shared" si="0"/>
        <v>80</v>
      </c>
      <c r="M8" s="454">
        <f t="shared" si="0"/>
        <v>59</v>
      </c>
      <c r="N8" s="454">
        <f t="shared" si="0"/>
        <v>35</v>
      </c>
      <c r="O8" s="454">
        <f t="shared" si="0"/>
        <v>17</v>
      </c>
      <c r="P8" s="454">
        <f t="shared" si="0"/>
        <v>88</v>
      </c>
      <c r="Q8" s="454">
        <f t="shared" si="0"/>
        <v>73</v>
      </c>
      <c r="R8" s="454">
        <f t="shared" si="0"/>
        <v>51</v>
      </c>
      <c r="S8" s="454">
        <f t="shared" si="0"/>
        <v>37</v>
      </c>
      <c r="T8" s="454">
        <f t="shared" si="0"/>
        <v>30</v>
      </c>
    </row>
    <row r="9" spans="1:52" ht="15.6" x14ac:dyDescent="0.3">
      <c r="A9" s="226" t="s">
        <v>17</v>
      </c>
      <c r="B9" s="227">
        <v>13</v>
      </c>
      <c r="C9" s="103">
        <v>21</v>
      </c>
    </row>
    <row r="10" spans="1:52" ht="15.6" x14ac:dyDescent="0.3">
      <c r="A10" s="226" t="s">
        <v>19</v>
      </c>
      <c r="B10" s="227">
        <v>25</v>
      </c>
      <c r="C10" s="103">
        <v>15</v>
      </c>
    </row>
    <row r="11" spans="1:52" ht="15.6" x14ac:dyDescent="0.3">
      <c r="A11" s="226" t="s">
        <v>21</v>
      </c>
      <c r="B11" s="227">
        <v>10</v>
      </c>
      <c r="C11" s="103">
        <v>22</v>
      </c>
    </row>
    <row r="12" spans="1:52" ht="15.6" x14ac:dyDescent="0.3">
      <c r="A12" s="226" t="s">
        <v>23</v>
      </c>
      <c r="B12" s="227">
        <v>5</v>
      </c>
      <c r="C12" s="103">
        <v>14</v>
      </c>
      <c r="AA12" t="s">
        <v>267</v>
      </c>
      <c r="AB12">
        <f>B17</f>
        <v>12.42</v>
      </c>
      <c r="AD12" t="s">
        <v>203</v>
      </c>
      <c r="AE12">
        <f>B15</f>
        <v>2300</v>
      </c>
      <c r="AQ12" t="s">
        <v>267</v>
      </c>
      <c r="AR12">
        <f>AB12</f>
        <v>12.42</v>
      </c>
      <c r="AT12" t="s">
        <v>203</v>
      </c>
      <c r="AU12">
        <f>AE12</f>
        <v>2300</v>
      </c>
    </row>
    <row r="13" spans="1:52" ht="15.6" x14ac:dyDescent="0.3">
      <c r="A13" s="226" t="s">
        <v>28</v>
      </c>
      <c r="B13" s="227">
        <v>17</v>
      </c>
      <c r="C13" s="103">
        <v>7</v>
      </c>
      <c r="E13" s="112"/>
      <c r="F13" s="113"/>
      <c r="G13" s="113"/>
      <c r="H13" s="112"/>
      <c r="I13" s="112"/>
      <c r="J13" s="112">
        <v>1</v>
      </c>
      <c r="K13" s="112">
        <v>2</v>
      </c>
      <c r="L13" s="112">
        <v>3</v>
      </c>
      <c r="M13" s="112">
        <v>4</v>
      </c>
      <c r="N13" s="112">
        <v>5</v>
      </c>
      <c r="O13" s="112">
        <v>6</v>
      </c>
      <c r="P13" s="112">
        <v>7</v>
      </c>
      <c r="Q13" s="112">
        <v>8</v>
      </c>
      <c r="R13" s="112">
        <v>9</v>
      </c>
      <c r="S13" s="112">
        <v>10</v>
      </c>
      <c r="T13" s="112">
        <v>11</v>
      </c>
      <c r="W13" s="61"/>
      <c r="AP13">
        <v>1</v>
      </c>
      <c r="AQ13">
        <v>2</v>
      </c>
      <c r="AR13">
        <v>3</v>
      </c>
      <c r="AS13">
        <v>4</v>
      </c>
      <c r="AT13">
        <v>5</v>
      </c>
      <c r="AU13">
        <v>6</v>
      </c>
      <c r="AV13">
        <v>7</v>
      </c>
      <c r="AW13">
        <v>8</v>
      </c>
      <c r="AX13">
        <v>9</v>
      </c>
      <c r="AY13">
        <v>10</v>
      </c>
      <c r="AZ13">
        <v>11</v>
      </c>
    </row>
    <row r="14" spans="1:52" ht="15.6" x14ac:dyDescent="0.3">
      <c r="A14" t="s">
        <v>268</v>
      </c>
      <c r="B14" s="14">
        <f>AVERAGE(C3:C13)</f>
        <v>22.363636363636363</v>
      </c>
      <c r="H14" s="458" t="s">
        <v>246</v>
      </c>
      <c r="I14" s="459" t="s">
        <v>163</v>
      </c>
      <c r="J14" s="460">
        <v>54</v>
      </c>
      <c r="K14" s="397">
        <v>28</v>
      </c>
      <c r="L14" s="397">
        <v>22</v>
      </c>
      <c r="M14" s="461">
        <v>21</v>
      </c>
      <c r="N14" s="462">
        <v>24</v>
      </c>
      <c r="O14" s="472">
        <v>18</v>
      </c>
      <c r="P14" s="472">
        <v>21</v>
      </c>
      <c r="Q14" s="472">
        <v>15</v>
      </c>
      <c r="R14" s="472">
        <v>22</v>
      </c>
      <c r="S14" s="472">
        <v>14</v>
      </c>
      <c r="T14" s="231">
        <v>7</v>
      </c>
      <c r="W14" s="61"/>
      <c r="Y14" s="391" t="s">
        <v>96</v>
      </c>
      <c r="Z14" s="473" t="s">
        <v>163</v>
      </c>
      <c r="AA14" s="103">
        <v>54</v>
      </c>
      <c r="AB14" s="104">
        <v>28</v>
      </c>
      <c r="AC14" s="104">
        <v>22</v>
      </c>
      <c r="AD14" s="103">
        <v>21</v>
      </c>
      <c r="AE14" s="103">
        <v>24</v>
      </c>
      <c r="AF14" s="103">
        <v>18</v>
      </c>
      <c r="AG14" s="103">
        <v>21</v>
      </c>
      <c r="AH14" s="103">
        <v>15</v>
      </c>
      <c r="AI14" s="103">
        <v>22</v>
      </c>
      <c r="AJ14" s="103">
        <v>14</v>
      </c>
      <c r="AK14" s="103">
        <v>7</v>
      </c>
      <c r="AN14" s="391" t="s">
        <v>164</v>
      </c>
      <c r="AO14" s="476" t="s">
        <v>163</v>
      </c>
      <c r="AP14" s="103">
        <v>54</v>
      </c>
      <c r="AQ14" s="104">
        <v>28</v>
      </c>
      <c r="AR14" s="104">
        <v>22</v>
      </c>
      <c r="AS14" s="103">
        <v>21</v>
      </c>
      <c r="AT14" s="103">
        <v>24</v>
      </c>
      <c r="AU14" s="103">
        <v>18</v>
      </c>
      <c r="AV14" s="103">
        <v>21</v>
      </c>
      <c r="AW14" s="103">
        <v>15</v>
      </c>
      <c r="AX14" s="103">
        <v>22</v>
      </c>
      <c r="AY14" s="103">
        <v>14</v>
      </c>
      <c r="AZ14" s="103">
        <v>7</v>
      </c>
    </row>
    <row r="15" spans="1:52" x14ac:dyDescent="0.3">
      <c r="A15" t="s">
        <v>203</v>
      </c>
      <c r="B15">
        <v>2300</v>
      </c>
      <c r="H15" s="146"/>
      <c r="I15" s="146"/>
      <c r="J15" s="463" t="s">
        <v>165</v>
      </c>
      <c r="K15" s="229"/>
      <c r="L15" s="463"/>
      <c r="M15" s="231"/>
      <c r="Z15" s="456" t="s">
        <v>165</v>
      </c>
      <c r="AO15" s="456" t="s">
        <v>269</v>
      </c>
      <c r="AP15" s="456"/>
      <c r="AQ15" s="456"/>
      <c r="AR15" s="456"/>
    </row>
    <row r="16" spans="1:52" x14ac:dyDescent="0.3">
      <c r="A16" t="s">
        <v>270</v>
      </c>
      <c r="B16">
        <v>0.46</v>
      </c>
      <c r="H16" s="146"/>
      <c r="I16" s="146"/>
      <c r="J16" s="464" t="s">
        <v>82</v>
      </c>
      <c r="K16" s="465">
        <v>2300</v>
      </c>
      <c r="L16" s="456"/>
      <c r="M16" s="456"/>
      <c r="Z16" s="456" t="s">
        <v>82</v>
      </c>
      <c r="AA16">
        <f>AE12/AA14</f>
        <v>42.592592592592595</v>
      </c>
      <c r="AO16" s="456"/>
      <c r="AP16" s="456"/>
      <c r="AQ16" s="456"/>
      <c r="AR16" s="456"/>
    </row>
    <row r="17" spans="1:50" x14ac:dyDescent="0.3">
      <c r="A17" t="s">
        <v>202</v>
      </c>
      <c r="B17">
        <f>B16*B18</f>
        <v>12.42</v>
      </c>
      <c r="H17" s="146"/>
      <c r="I17" s="146"/>
      <c r="J17" s="463" t="s">
        <v>85</v>
      </c>
      <c r="K17" s="229">
        <f>(K16+B15*K14)/2</f>
        <v>33350</v>
      </c>
      <c r="L17" s="456"/>
      <c r="M17" s="456"/>
      <c r="Z17" s="456" t="s">
        <v>85</v>
      </c>
      <c r="AA17">
        <f>(AE12+AB12*AB14)/(AA14+AB14)</f>
        <v>32.289756097560975</v>
      </c>
      <c r="AE17" s="456" t="s">
        <v>248</v>
      </c>
      <c r="AF17" s="456"/>
      <c r="AG17" s="474">
        <f>SUM(AA14:AC14)</f>
        <v>104</v>
      </c>
      <c r="AO17" s="477" t="s">
        <v>144</v>
      </c>
      <c r="AP17" s="456"/>
      <c r="AQ17" s="456"/>
      <c r="AR17" s="456"/>
    </row>
    <row r="18" spans="1:50" x14ac:dyDescent="0.3">
      <c r="A18" t="s">
        <v>271</v>
      </c>
      <c r="B18">
        <v>27</v>
      </c>
      <c r="H18" s="146"/>
      <c r="I18" s="146"/>
      <c r="J18" s="463"/>
      <c r="K18" s="229"/>
      <c r="L18" s="456"/>
      <c r="M18" s="456"/>
      <c r="O18" s="456" t="s">
        <v>169</v>
      </c>
      <c r="P18" s="456">
        <f>J14</f>
        <v>54</v>
      </c>
      <c r="W18" s="146"/>
      <c r="Z18" s="456" t="s">
        <v>86</v>
      </c>
      <c r="AA18">
        <f>(AE12+AB12*AB14+2*AB12*AC14)/(AA14+AB14+AC14)</f>
        <v>30.713846153846156</v>
      </c>
      <c r="AE18" s="456" t="s">
        <v>272</v>
      </c>
      <c r="AF18" s="456"/>
      <c r="AG18" s="474">
        <f>SUM(AD14:AG14)</f>
        <v>84</v>
      </c>
      <c r="AO18" s="477">
        <v>1</v>
      </c>
      <c r="AP18" s="456">
        <v>0</v>
      </c>
      <c r="AQ18" s="456"/>
      <c r="AR18" s="456"/>
      <c r="AS18" s="456" t="s">
        <v>273</v>
      </c>
      <c r="AT18" s="474">
        <f>SUM(AP14:AS14)</f>
        <v>125</v>
      </c>
      <c r="AW18" s="456" t="s">
        <v>29</v>
      </c>
      <c r="AX18" s="456">
        <f>3*AU12</f>
        <v>6900</v>
      </c>
    </row>
    <row r="19" spans="1:50" x14ac:dyDescent="0.3">
      <c r="A19" t="s">
        <v>177</v>
      </c>
      <c r="B19">
        <v>84</v>
      </c>
      <c r="F19" s="456" t="s">
        <v>274</v>
      </c>
      <c r="H19" s="146"/>
      <c r="I19" s="146"/>
      <c r="J19" s="463"/>
      <c r="K19" s="229"/>
      <c r="L19" s="456" t="s">
        <v>168</v>
      </c>
      <c r="M19" s="456"/>
      <c r="O19" s="456" t="s">
        <v>275</v>
      </c>
      <c r="P19" s="456">
        <f>SUM(K14:O14)</f>
        <v>113</v>
      </c>
      <c r="Z19" s="456" t="s">
        <v>87</v>
      </c>
      <c r="AA19">
        <f>(AE12+AB12*AB14+2*AB12*AC14+3*AB12*AD14)/(AA14+AB14+AC14+AD14)</f>
        <v>31.813600000000001</v>
      </c>
      <c r="AB19" t="s">
        <v>216</v>
      </c>
      <c r="AE19" s="456" t="s">
        <v>276</v>
      </c>
      <c r="AF19" s="456"/>
      <c r="AG19" s="474">
        <f>SUM(AH14:AK14)</f>
        <v>58</v>
      </c>
      <c r="AO19" s="477">
        <v>2</v>
      </c>
      <c r="AP19" s="456">
        <f>AR12*AQ14</f>
        <v>347.76</v>
      </c>
      <c r="AQ19" s="456"/>
      <c r="AR19" s="456"/>
      <c r="AS19" s="456" t="s">
        <v>277</v>
      </c>
      <c r="AT19" s="474">
        <f>SUM(AT14:AW14)</f>
        <v>78</v>
      </c>
      <c r="AW19" s="456" t="s">
        <v>219</v>
      </c>
      <c r="AX19" s="456">
        <f>SUM(AU23:AU33)*AR12</f>
        <v>3328.56</v>
      </c>
    </row>
    <row r="20" spans="1:50" x14ac:dyDescent="0.3">
      <c r="H20" s="146"/>
      <c r="I20" s="146"/>
      <c r="J20" s="463"/>
      <c r="K20" s="229"/>
      <c r="L20" s="456" t="s">
        <v>169</v>
      </c>
      <c r="M20" s="456"/>
      <c r="O20" s="456" t="s">
        <v>278</v>
      </c>
      <c r="P20" s="456">
        <f>SUM(P14:T14)</f>
        <v>79</v>
      </c>
      <c r="Z20" s="456"/>
      <c r="AE20" s="456"/>
      <c r="AF20" s="456"/>
      <c r="AG20" s="456"/>
      <c r="AO20" s="477">
        <v>3</v>
      </c>
      <c r="AP20" s="456">
        <f>AR12*AQ14+2*AR12*AR14</f>
        <v>894.24</v>
      </c>
      <c r="AQ20" s="456"/>
      <c r="AR20" s="456"/>
      <c r="AS20" s="456" t="s">
        <v>279</v>
      </c>
      <c r="AT20" s="474">
        <f>SUM(AX14:AZ14)</f>
        <v>43</v>
      </c>
      <c r="AW20" s="456" t="s">
        <v>36</v>
      </c>
      <c r="AX20" s="456">
        <f>SUM(AX18:AX19)</f>
        <v>10228.56</v>
      </c>
    </row>
    <row r="21" spans="1:50" x14ac:dyDescent="0.3">
      <c r="H21" s="146"/>
      <c r="I21" s="146"/>
      <c r="J21" s="463"/>
      <c r="K21" s="229"/>
      <c r="L21" s="466"/>
      <c r="M21" s="456"/>
      <c r="O21" s="456"/>
      <c r="P21" s="456"/>
      <c r="S21" s="110"/>
      <c r="Z21" s="456" t="s">
        <v>82</v>
      </c>
      <c r="AA21">
        <f>AE12/AD14</f>
        <v>109.52380952380952</v>
      </c>
      <c r="AE21" s="456"/>
      <c r="AF21" s="456"/>
      <c r="AG21" s="456"/>
      <c r="AO21" s="477">
        <v>4</v>
      </c>
      <c r="AP21" s="456">
        <f>AR12*AQ14+2*AR12*AR14+3*AR12*AS14</f>
        <v>1676.6999999999998</v>
      </c>
      <c r="AQ21" s="456" t="s">
        <v>280</v>
      </c>
      <c r="AR21" s="456"/>
    </row>
    <row r="22" spans="1:50" x14ac:dyDescent="0.3">
      <c r="H22" s="146"/>
      <c r="I22" s="146"/>
      <c r="J22" s="463"/>
      <c r="K22" s="229"/>
      <c r="L22" s="456"/>
      <c r="M22" s="456"/>
      <c r="O22" s="456" t="s">
        <v>29</v>
      </c>
      <c r="P22" s="456">
        <f>3*B15</f>
        <v>6900</v>
      </c>
      <c r="Z22" s="456" t="s">
        <v>85</v>
      </c>
      <c r="AA22">
        <f>(AE12+ AB12*AE14)/(AD14+AE14)</f>
        <v>57.735111111111109</v>
      </c>
      <c r="AE22" s="456"/>
      <c r="AF22" s="456"/>
      <c r="AG22" s="456"/>
      <c r="AO22" s="477">
        <v>5</v>
      </c>
      <c r="AP22" s="456">
        <f>AP19+AP20+AP21+4*AR12*AT14</f>
        <v>4111.0199999999995</v>
      </c>
      <c r="AQ22" s="456"/>
      <c r="AR22" s="456"/>
      <c r="AS22" s="391"/>
      <c r="AT22" s="391" t="s">
        <v>234</v>
      </c>
      <c r="AU22" s="391" t="s">
        <v>128</v>
      </c>
    </row>
    <row r="23" spans="1:50" x14ac:dyDescent="0.3">
      <c r="H23" s="146"/>
      <c r="I23" s="146"/>
      <c r="J23" s="463" t="s">
        <v>82</v>
      </c>
      <c r="K23" s="229">
        <v>2300</v>
      </c>
      <c r="L23" s="456"/>
      <c r="M23" s="456"/>
      <c r="O23" s="456" t="s">
        <v>33</v>
      </c>
      <c r="P23" s="456">
        <f>SUM(Q31:Q41)*B17</f>
        <v>4185.54</v>
      </c>
      <c r="Z23" s="456" t="s">
        <v>86</v>
      </c>
      <c r="AA23">
        <f>(AE12+AB12*AE14+2*AB12*AF14)/(AD14+AE14+AF14)</f>
        <v>48.336507936507935</v>
      </c>
      <c r="AE23" s="456" t="s">
        <v>29</v>
      </c>
      <c r="AF23" s="456"/>
      <c r="AG23" s="456">
        <f>3*AE12</f>
        <v>6900</v>
      </c>
      <c r="AO23" s="477"/>
      <c r="AP23" s="456"/>
      <c r="AQ23" s="456"/>
      <c r="AR23" s="456"/>
      <c r="AS23" s="391" t="s">
        <v>5</v>
      </c>
      <c r="AT23" s="391">
        <v>125</v>
      </c>
      <c r="AU23" s="475">
        <f>AT23-AP14</f>
        <v>71</v>
      </c>
    </row>
    <row r="24" spans="1:50" x14ac:dyDescent="0.3">
      <c r="H24" s="146"/>
      <c r="I24" s="146"/>
      <c r="J24" s="463" t="s">
        <v>85</v>
      </c>
      <c r="K24" s="229">
        <f>(K23+B17*L14)/2</f>
        <v>1286.6199999999999</v>
      </c>
      <c r="L24" s="456"/>
      <c r="M24" s="456"/>
      <c r="O24" s="456" t="s">
        <v>36</v>
      </c>
      <c r="P24" s="456">
        <f>SUM(P22:P23)</f>
        <v>11085.54</v>
      </c>
      <c r="Z24" s="456" t="s">
        <v>87</v>
      </c>
      <c r="AA24">
        <f>(AE12+AB12*AE14+2*AB12*AF14+3*AB12*AG14)/(AD14+AE14+AF14+AG14)</f>
        <v>45.567380952380951</v>
      </c>
      <c r="AE24" s="456" t="s">
        <v>33</v>
      </c>
      <c r="AF24" s="456"/>
      <c r="AG24" s="456">
        <f>SUM(AG32:AG42)*AB12</f>
        <v>3303.72</v>
      </c>
      <c r="AO24" s="477" t="s">
        <v>281</v>
      </c>
      <c r="AP24" s="456"/>
      <c r="AQ24" s="456"/>
      <c r="AR24" s="456"/>
      <c r="AS24" s="391" t="s">
        <v>7</v>
      </c>
      <c r="AT24" s="391"/>
      <c r="AU24" s="475">
        <f>AU23-AQ14</f>
        <v>43</v>
      </c>
    </row>
    <row r="25" spans="1:50" x14ac:dyDescent="0.3">
      <c r="H25" s="146"/>
      <c r="I25" s="146"/>
      <c r="J25" s="463" t="s">
        <v>86</v>
      </c>
      <c r="K25" s="229">
        <f>(K23+B17*L14+2*M14*B17)/3</f>
        <v>1031.6266666666666</v>
      </c>
      <c r="L25" s="456"/>
      <c r="M25" s="456"/>
      <c r="O25" s="456"/>
      <c r="P25" s="456"/>
      <c r="Z25" s="456" t="s">
        <v>90</v>
      </c>
      <c r="AA25">
        <f>(AE12+AB12*AE14+2*AB12*AF14+3*AB12*AG14+4*AB12*AH14)/(AD14+AE14+AF14+AG14+AH14)</f>
        <v>46.190505050505045</v>
      </c>
      <c r="AB25" t="s">
        <v>282</v>
      </c>
      <c r="AE25" s="456" t="s">
        <v>36</v>
      </c>
      <c r="AF25" s="456"/>
      <c r="AG25" s="456">
        <f>SUM(AG23:AG24)</f>
        <v>10203.719999999999</v>
      </c>
      <c r="AO25" s="477">
        <v>1</v>
      </c>
      <c r="AP25" s="456">
        <v>0</v>
      </c>
      <c r="AQ25" s="456"/>
      <c r="AR25" s="456"/>
      <c r="AS25" s="391" t="s">
        <v>9</v>
      </c>
      <c r="AT25" s="391"/>
      <c r="AU25" s="475">
        <f>AU24-AR14</f>
        <v>21</v>
      </c>
    </row>
    <row r="26" spans="1:50" x14ac:dyDescent="0.3">
      <c r="H26" s="146"/>
      <c r="I26" s="146"/>
      <c r="J26" s="463" t="s">
        <v>87</v>
      </c>
      <c r="K26" s="229">
        <f>(B15+B17*L14+2*B17*M14+3*B17*N14)/4</f>
        <v>997.28</v>
      </c>
      <c r="L26" s="456" t="s">
        <v>261</v>
      </c>
      <c r="M26" s="456"/>
      <c r="O26" s="456"/>
      <c r="P26" s="456"/>
      <c r="R26" s="111"/>
      <c r="S26" s="242"/>
      <c r="T26" s="110"/>
      <c r="U26" s="110"/>
      <c r="Z26" s="456"/>
      <c r="AE26" s="456"/>
      <c r="AF26" s="456"/>
      <c r="AG26" s="456"/>
      <c r="AO26" s="477">
        <v>2</v>
      </c>
      <c r="AP26" s="456">
        <f>AR12*AU14</f>
        <v>223.56</v>
      </c>
      <c r="AQ26" s="456"/>
      <c r="AR26" s="456"/>
      <c r="AS26" s="391" t="s">
        <v>11</v>
      </c>
      <c r="AT26" s="391"/>
      <c r="AU26" s="475">
        <f>AU25-AS14</f>
        <v>0</v>
      </c>
    </row>
    <row r="27" spans="1:50" x14ac:dyDescent="0.3">
      <c r="H27" s="146"/>
      <c r="I27" s="146"/>
      <c r="J27" s="463" t="s">
        <v>90</v>
      </c>
      <c r="K27" s="229">
        <f>(K23+B17*L14+2*B17*M14+3*B17*N14+4*B17*O14)/5</f>
        <v>976.67199999999991</v>
      </c>
      <c r="L27" s="456"/>
      <c r="M27" s="456"/>
      <c r="R27" s="111"/>
      <c r="S27" s="111"/>
      <c r="Z27" s="456" t="s">
        <v>82</v>
      </c>
      <c r="AA27">
        <f>AE12/AH14</f>
        <v>153.33333333333334</v>
      </c>
      <c r="AE27" s="456"/>
      <c r="AF27" s="456"/>
      <c r="AG27" s="456"/>
      <c r="AO27" s="477">
        <v>3</v>
      </c>
      <c r="AP27" s="456">
        <f>AP26+2*AR12*AV14</f>
        <v>745.2</v>
      </c>
      <c r="AQ27" s="456"/>
      <c r="AR27" s="456"/>
      <c r="AS27" s="391" t="s">
        <v>13</v>
      </c>
      <c r="AT27" s="391">
        <v>78</v>
      </c>
      <c r="AU27" s="475">
        <f>AT27-AT14</f>
        <v>54</v>
      </c>
    </row>
    <row r="28" spans="1:50" x14ac:dyDescent="0.3">
      <c r="H28" s="146"/>
      <c r="I28" s="146"/>
      <c r="J28" s="463" t="s">
        <v>91</v>
      </c>
      <c r="K28" s="229">
        <f>(K23+B17*L14+2*B17*M14+3*B17*N14+4*B17*O14+5*B17*P14)/6</f>
        <v>1031.2433333333333</v>
      </c>
      <c r="L28" s="466"/>
      <c r="M28" s="456"/>
      <c r="R28" s="111"/>
      <c r="S28" s="111"/>
      <c r="Z28" s="456" t="s">
        <v>85</v>
      </c>
      <c r="AA28">
        <f>(AE12+AB12*AI14)/(AH14+AI14)</f>
        <v>69.547027027027028</v>
      </c>
      <c r="AE28" s="456"/>
      <c r="AF28" s="456"/>
      <c r="AG28" s="456"/>
      <c r="AO28" s="477">
        <v>4</v>
      </c>
      <c r="AP28" s="456">
        <f>AP26+AP27+3*AR12*AW14</f>
        <v>1527.6599999999999</v>
      </c>
      <c r="AQ28" s="456" t="s">
        <v>280</v>
      </c>
      <c r="AR28" s="456"/>
      <c r="AS28" s="391" t="s">
        <v>15</v>
      </c>
      <c r="AT28" s="391"/>
      <c r="AU28" s="475">
        <f>AU27-AU14</f>
        <v>36</v>
      </c>
    </row>
    <row r="29" spans="1:50" x14ac:dyDescent="0.3">
      <c r="H29" s="146"/>
      <c r="I29" s="146"/>
      <c r="J29" s="463"/>
      <c r="K29" s="229"/>
      <c r="L29" s="456"/>
      <c r="M29" s="456"/>
      <c r="R29" s="111"/>
      <c r="S29" s="111"/>
      <c r="Z29" s="456" t="s">
        <v>86</v>
      </c>
      <c r="AA29">
        <f>(AE12+AB12*AI14+2*AB12*AJ14)/(AH14+AI14+AJ14)</f>
        <v>57.274509803921568</v>
      </c>
      <c r="AO29" s="477">
        <v>5</v>
      </c>
      <c r="AP29" s="456">
        <f>AP26+AP27+AP28+4*AR12*AX14</f>
        <v>3589.38</v>
      </c>
      <c r="AQ29" s="456"/>
      <c r="AR29" s="456"/>
      <c r="AS29" s="391" t="s">
        <v>17</v>
      </c>
      <c r="AT29" s="391"/>
      <c r="AU29" s="475">
        <f>AU28-AV14</f>
        <v>15</v>
      </c>
    </row>
    <row r="30" spans="1:50" x14ac:dyDescent="0.3">
      <c r="H30" s="146"/>
      <c r="I30" s="146"/>
      <c r="J30" s="463"/>
      <c r="K30" s="229"/>
      <c r="L30" s="456"/>
      <c r="M30" s="456"/>
      <c r="O30" s="469"/>
      <c r="P30" s="470" t="s">
        <v>127</v>
      </c>
      <c r="Q30" s="470" t="s">
        <v>128</v>
      </c>
      <c r="S30" s="111"/>
      <c r="Z30" s="456" t="s">
        <v>87</v>
      </c>
      <c r="AA30">
        <f>(AE12+AB12*AI14+2*AB12*AJ14+3*AB12*AK14)/(AH14+AI14+AJ14+AK14)</f>
        <v>54.85896551724138</v>
      </c>
      <c r="AB30" t="s">
        <v>283</v>
      </c>
      <c r="AO30" s="456"/>
      <c r="AP30" s="456"/>
      <c r="AQ30" s="456"/>
      <c r="AR30" s="456"/>
      <c r="AS30" s="391" t="s">
        <v>19</v>
      </c>
      <c r="AT30" s="391"/>
      <c r="AU30" s="475">
        <f>AU29-AW14</f>
        <v>0</v>
      </c>
    </row>
    <row r="31" spans="1:50" x14ac:dyDescent="0.3">
      <c r="H31" s="146"/>
      <c r="I31" s="146"/>
      <c r="J31" s="463"/>
      <c r="K31" s="229"/>
      <c r="L31" s="456"/>
      <c r="M31" s="456"/>
      <c r="O31" s="471" t="s">
        <v>5</v>
      </c>
      <c r="P31" s="391">
        <v>54</v>
      </c>
      <c r="Q31" s="391">
        <f>P31-J14</f>
        <v>0</v>
      </c>
      <c r="S31" s="111"/>
      <c r="Z31" s="456"/>
      <c r="AE31" s="469"/>
      <c r="AF31" s="470" t="s">
        <v>127</v>
      </c>
      <c r="AG31" s="470" t="s">
        <v>128</v>
      </c>
      <c r="AO31" s="477">
        <v>1</v>
      </c>
      <c r="AP31" s="456">
        <v>0</v>
      </c>
      <c r="AQ31" s="456"/>
      <c r="AR31" s="456"/>
      <c r="AS31" s="391" t="s">
        <v>21</v>
      </c>
      <c r="AT31" s="391">
        <v>43</v>
      </c>
      <c r="AU31" s="475">
        <f>AT31-AX14</f>
        <v>21</v>
      </c>
    </row>
    <row r="32" spans="1:50" x14ac:dyDescent="0.3">
      <c r="H32" s="146"/>
      <c r="I32" s="146"/>
      <c r="J32" s="463" t="s">
        <v>82</v>
      </c>
      <c r="K32" s="229">
        <v>2300</v>
      </c>
      <c r="L32" s="456"/>
      <c r="M32" s="456"/>
      <c r="O32" s="471" t="s">
        <v>7</v>
      </c>
      <c r="P32" s="391">
        <f>P19</f>
        <v>113</v>
      </c>
      <c r="Q32" s="391">
        <f>P32-K14</f>
        <v>85</v>
      </c>
      <c r="S32" s="111"/>
      <c r="Z32" s="456"/>
      <c r="AE32" s="471" t="s">
        <v>5</v>
      </c>
      <c r="AF32" s="475">
        <f>AG17</f>
        <v>104</v>
      </c>
      <c r="AG32" s="475">
        <f>AF32-AA14</f>
        <v>50</v>
      </c>
      <c r="AO32" s="477">
        <v>2</v>
      </c>
      <c r="AP32" s="456">
        <f>AR12*AY14</f>
        <v>173.88</v>
      </c>
      <c r="AQ32" s="456"/>
      <c r="AR32" s="456"/>
      <c r="AS32" s="391" t="s">
        <v>23</v>
      </c>
      <c r="AT32" s="391"/>
      <c r="AU32" s="475">
        <f>AU31-AY14</f>
        <v>7</v>
      </c>
    </row>
    <row r="33" spans="8:47" x14ac:dyDescent="0.3">
      <c r="H33" s="146"/>
      <c r="I33" s="146"/>
      <c r="J33" s="463" t="s">
        <v>85</v>
      </c>
      <c r="K33" s="229">
        <f>(K32+B17*Q14)/2</f>
        <v>1243.1500000000001</v>
      </c>
      <c r="L33" s="456"/>
      <c r="M33" s="456"/>
      <c r="O33" s="471" t="s">
        <v>9</v>
      </c>
      <c r="P33" s="391"/>
      <c r="Q33" s="391">
        <f>Q32-L14</f>
        <v>63</v>
      </c>
      <c r="S33" s="111"/>
      <c r="Z33" s="456"/>
      <c r="AE33" s="471" t="s">
        <v>7</v>
      </c>
      <c r="AF33" s="391"/>
      <c r="AG33" s="475">
        <f>AG32-AB14</f>
        <v>22</v>
      </c>
      <c r="AO33" s="456"/>
      <c r="AP33" s="456">
        <f>AP32+2*AR12*AZ14</f>
        <v>347.76</v>
      </c>
      <c r="AQ33" s="456"/>
      <c r="AR33" s="456"/>
      <c r="AS33" s="391" t="s">
        <v>28</v>
      </c>
      <c r="AT33" s="391"/>
      <c r="AU33" s="475">
        <f>AU32-AZ14</f>
        <v>0</v>
      </c>
    </row>
    <row r="34" spans="8:47" x14ac:dyDescent="0.3">
      <c r="H34" s="146"/>
      <c r="I34" s="146"/>
      <c r="J34" s="463" t="s">
        <v>86</v>
      </c>
      <c r="K34" s="229">
        <f>(K32+B17*Q14+2*B17*R14)/3</f>
        <v>1010.9266666666667</v>
      </c>
      <c r="L34" s="456"/>
      <c r="M34" s="456"/>
      <c r="O34" s="471" t="s">
        <v>11</v>
      </c>
      <c r="P34" s="391"/>
      <c r="Q34" s="391">
        <f>Q33-M14</f>
        <v>42</v>
      </c>
      <c r="Z34" s="456"/>
      <c r="AE34" s="471" t="s">
        <v>9</v>
      </c>
      <c r="AF34" s="391"/>
      <c r="AG34" s="475">
        <f>AG33-AC14</f>
        <v>0</v>
      </c>
      <c r="AO34" s="456"/>
      <c r="AP34" s="456"/>
      <c r="AQ34" s="456"/>
      <c r="AR34" s="456"/>
    </row>
    <row r="35" spans="8:47" x14ac:dyDescent="0.3">
      <c r="H35" s="146"/>
      <c r="I35" s="146"/>
      <c r="J35" s="463" t="s">
        <v>87</v>
      </c>
      <c r="K35" s="229">
        <f>(K32+B17*Q14+2*B17*R14+3*B17*S14)/4</f>
        <v>888.60500000000002</v>
      </c>
      <c r="L35" s="456" t="s">
        <v>283</v>
      </c>
      <c r="M35" s="456"/>
      <c r="O35" s="471" t="s">
        <v>13</v>
      </c>
      <c r="P35" s="391"/>
      <c r="Q35" s="391">
        <f>Q34-N14</f>
        <v>18</v>
      </c>
      <c r="Z35" s="456"/>
      <c r="AE35" s="471" t="s">
        <v>11</v>
      </c>
      <c r="AF35" s="391">
        <v>84</v>
      </c>
      <c r="AG35" s="475">
        <f>AF35-AD14</f>
        <v>63</v>
      </c>
      <c r="AO35" s="456"/>
      <c r="AP35" s="456"/>
      <c r="AQ35" s="456"/>
      <c r="AR35" s="456"/>
    </row>
    <row r="36" spans="8:47" x14ac:dyDescent="0.3">
      <c r="H36" s="146"/>
      <c r="I36" s="146"/>
      <c r="J36" s="463" t="s">
        <v>90</v>
      </c>
      <c r="K36" s="229" t="s">
        <v>284</v>
      </c>
      <c r="L36" s="456"/>
      <c r="M36" s="456"/>
      <c r="O36" s="471" t="s">
        <v>15</v>
      </c>
      <c r="P36" s="391"/>
      <c r="Q36" s="391">
        <f>Q35-O14</f>
        <v>0</v>
      </c>
      <c r="Z36" s="456"/>
      <c r="AE36" s="471" t="s">
        <v>13</v>
      </c>
      <c r="AF36" s="391"/>
      <c r="AG36" s="475">
        <f>AG35-AE14</f>
        <v>39</v>
      </c>
      <c r="AO36" s="456"/>
      <c r="AP36" s="456"/>
      <c r="AQ36" s="456"/>
      <c r="AR36" s="456"/>
    </row>
    <row r="37" spans="8:47" x14ac:dyDescent="0.3">
      <c r="H37" s="146"/>
      <c r="I37" s="146"/>
      <c r="J37" s="463"/>
      <c r="K37" s="229"/>
      <c r="L37" s="456"/>
      <c r="M37" s="456"/>
      <c r="O37" s="471" t="s">
        <v>17</v>
      </c>
      <c r="P37" s="391">
        <f>P20</f>
        <v>79</v>
      </c>
      <c r="Q37" s="391">
        <f>P37-P14</f>
        <v>58</v>
      </c>
      <c r="Z37" s="456"/>
      <c r="AE37" s="471" t="s">
        <v>15</v>
      </c>
      <c r="AF37" s="391"/>
      <c r="AG37" s="475">
        <f>AG36-AF14</f>
        <v>21</v>
      </c>
      <c r="AO37" s="456"/>
      <c r="AP37" s="456"/>
      <c r="AQ37" s="456"/>
      <c r="AR37" s="456"/>
    </row>
    <row r="38" spans="8:47" x14ac:dyDescent="0.3">
      <c r="H38" s="146"/>
      <c r="I38" s="146"/>
      <c r="J38" s="463" t="s">
        <v>82</v>
      </c>
      <c r="K38" s="467"/>
      <c r="L38" s="456"/>
      <c r="M38" s="456"/>
      <c r="O38" s="471" t="s">
        <v>19</v>
      </c>
      <c r="P38" s="391"/>
      <c r="Q38" s="391">
        <f>Q37-Q14</f>
        <v>43</v>
      </c>
      <c r="AE38" s="471" t="s">
        <v>17</v>
      </c>
      <c r="AF38" s="391"/>
      <c r="AG38" s="475">
        <f>AG37-AG14</f>
        <v>0</v>
      </c>
    </row>
    <row r="39" spans="8:47" x14ac:dyDescent="0.3">
      <c r="H39" s="146"/>
      <c r="I39" s="146"/>
      <c r="J39" s="463" t="s">
        <v>85</v>
      </c>
      <c r="K39" s="229"/>
      <c r="L39" s="456"/>
      <c r="M39" s="456"/>
      <c r="O39" s="471" t="s">
        <v>21</v>
      </c>
      <c r="P39" s="391"/>
      <c r="Q39" s="391">
        <f>Q38-R14</f>
        <v>21</v>
      </c>
      <c r="AE39" s="471" t="s">
        <v>19</v>
      </c>
      <c r="AF39" s="391">
        <v>58</v>
      </c>
      <c r="AG39" s="475">
        <f>AF39-AH14</f>
        <v>43</v>
      </c>
    </row>
    <row r="40" spans="8:47" x14ac:dyDescent="0.3">
      <c r="H40" s="146"/>
      <c r="I40" s="146"/>
      <c r="J40" s="468"/>
      <c r="K40" s="464"/>
      <c r="L40" s="456"/>
      <c r="M40" s="456"/>
      <c r="O40" s="471" t="s">
        <v>23</v>
      </c>
      <c r="P40" s="391"/>
      <c r="Q40" s="391">
        <f>Q39-S14</f>
        <v>7</v>
      </c>
      <c r="AE40" s="471" t="s">
        <v>21</v>
      </c>
      <c r="AF40" s="391"/>
      <c r="AG40" s="475">
        <f>AG39-AI14</f>
        <v>21</v>
      </c>
    </row>
    <row r="41" spans="8:47" x14ac:dyDescent="0.3">
      <c r="H41" s="146"/>
      <c r="I41" s="146"/>
      <c r="J41" s="436"/>
      <c r="K41" s="249"/>
      <c r="O41" s="471" t="s">
        <v>28</v>
      </c>
      <c r="P41" s="391"/>
      <c r="Q41" s="391">
        <f>Q40-T14</f>
        <v>0</v>
      </c>
      <c r="AE41" s="471" t="s">
        <v>23</v>
      </c>
      <c r="AF41" s="391"/>
      <c r="AG41" s="475">
        <f>AG40-AJ14</f>
        <v>7</v>
      </c>
    </row>
    <row r="42" spans="8:47" x14ac:dyDescent="0.3">
      <c r="H42" s="146"/>
      <c r="I42" s="146"/>
      <c r="AE42" s="471" t="s">
        <v>28</v>
      </c>
      <c r="AF42" s="391"/>
      <c r="AG42" s="475">
        <f>AG41-AK14</f>
        <v>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BCC4-68EB-644C-8106-2F9C28414865}">
  <dimension ref="A2:AV54"/>
  <sheetViews>
    <sheetView zoomScale="47" workbookViewId="0">
      <selection activeCell="AJ12" sqref="AJ12:AV12"/>
    </sheetView>
  </sheetViews>
  <sheetFormatPr defaultColWidth="11.44140625" defaultRowHeight="14.4" x14ac:dyDescent="0.3"/>
  <cols>
    <col min="5" max="5" width="19.77734375" bestFit="1" customWidth="1"/>
    <col min="6" max="6" width="12.6640625" bestFit="1" customWidth="1"/>
    <col min="15" max="15" width="13.33203125" bestFit="1" customWidth="1"/>
    <col min="17" max="17" width="12.44140625" bestFit="1" customWidth="1"/>
  </cols>
  <sheetData>
    <row r="2" spans="1:48" x14ac:dyDescent="0.3">
      <c r="A2" s="491" t="s">
        <v>285</v>
      </c>
      <c r="B2" s="492" t="s">
        <v>1</v>
      </c>
      <c r="C2" s="492" t="s">
        <v>2</v>
      </c>
    </row>
    <row r="3" spans="1:48" x14ac:dyDescent="0.3">
      <c r="A3" s="493" t="s">
        <v>5</v>
      </c>
      <c r="B3" s="488">
        <v>15</v>
      </c>
      <c r="C3" s="494">
        <v>7</v>
      </c>
      <c r="E3" s="437" t="s">
        <v>26</v>
      </c>
      <c r="F3" s="447" t="s">
        <v>27</v>
      </c>
      <c r="G3" s="438" t="s">
        <v>5</v>
      </c>
      <c r="H3" s="438" t="s">
        <v>7</v>
      </c>
      <c r="I3" s="438" t="s">
        <v>9</v>
      </c>
      <c r="J3" s="438" t="s">
        <v>11</v>
      </c>
      <c r="K3" s="438" t="s">
        <v>13</v>
      </c>
      <c r="L3" s="438" t="s">
        <v>15</v>
      </c>
      <c r="M3" s="438" t="s">
        <v>17</v>
      </c>
      <c r="N3" s="438" t="s">
        <v>19</v>
      </c>
      <c r="O3" s="438" t="s">
        <v>21</v>
      </c>
      <c r="P3" s="438" t="s">
        <v>23</v>
      </c>
      <c r="Q3" s="438" t="s">
        <v>28</v>
      </c>
    </row>
    <row r="4" spans="1:48" x14ac:dyDescent="0.3">
      <c r="A4" s="493" t="s">
        <v>7</v>
      </c>
      <c r="B4" s="488">
        <v>4</v>
      </c>
      <c r="C4" s="494">
        <v>13</v>
      </c>
      <c r="E4" s="440" t="s">
        <v>32</v>
      </c>
      <c r="F4" s="109"/>
      <c r="G4" s="478">
        <v>7</v>
      </c>
      <c r="H4" s="478">
        <v>13</v>
      </c>
      <c r="I4" s="478">
        <v>6</v>
      </c>
      <c r="J4" s="478">
        <v>13</v>
      </c>
      <c r="K4" s="478">
        <v>6</v>
      </c>
      <c r="L4" s="478">
        <v>25</v>
      </c>
      <c r="M4" s="478">
        <v>10</v>
      </c>
      <c r="N4" s="478">
        <v>8</v>
      </c>
      <c r="O4" s="478">
        <v>35</v>
      </c>
      <c r="P4" s="478">
        <v>34</v>
      </c>
      <c r="Q4" s="478">
        <v>26</v>
      </c>
      <c r="S4" s="479" t="s">
        <v>29</v>
      </c>
      <c r="T4" s="480">
        <f>2*C16</f>
        <v>4600</v>
      </c>
    </row>
    <row r="5" spans="1:48" x14ac:dyDescent="0.3">
      <c r="A5" s="493" t="s">
        <v>9</v>
      </c>
      <c r="B5" s="488">
        <v>15</v>
      </c>
      <c r="C5" s="494">
        <v>6</v>
      </c>
      <c r="E5" s="440" t="s">
        <v>35</v>
      </c>
      <c r="F5" s="478">
        <v>7</v>
      </c>
      <c r="G5" s="478">
        <v>13</v>
      </c>
      <c r="H5" s="478">
        <v>6</v>
      </c>
      <c r="I5" s="478">
        <v>13</v>
      </c>
      <c r="J5" s="478">
        <v>6</v>
      </c>
      <c r="K5" s="478">
        <v>25</v>
      </c>
      <c r="L5" s="478">
        <v>10</v>
      </c>
      <c r="M5" s="478">
        <v>8</v>
      </c>
      <c r="N5" s="478">
        <v>35</v>
      </c>
      <c r="O5" s="478">
        <v>34</v>
      </c>
      <c r="P5" s="478">
        <v>26</v>
      </c>
      <c r="Q5" s="109"/>
      <c r="S5" s="481" t="s">
        <v>33</v>
      </c>
      <c r="T5" s="480">
        <f>SUM(G8:Q8)*C19</f>
        <v>4140.0000000000009</v>
      </c>
    </row>
    <row r="6" spans="1:48" x14ac:dyDescent="0.3">
      <c r="A6" s="493" t="s">
        <v>11</v>
      </c>
      <c r="B6" s="488">
        <v>4</v>
      </c>
      <c r="C6" s="494">
        <v>13</v>
      </c>
      <c r="E6" s="440" t="s">
        <v>40</v>
      </c>
      <c r="F6" s="109">
        <f>ROUNDUP(SQRT(2*C16*C15/C19),0)</f>
        <v>92</v>
      </c>
      <c r="G6" s="109">
        <v>0</v>
      </c>
      <c r="H6" s="109">
        <v>0</v>
      </c>
      <c r="I6" s="109">
        <v>0</v>
      </c>
      <c r="J6" s="109">
        <v>0</v>
      </c>
      <c r="K6" s="109">
        <v>0</v>
      </c>
      <c r="L6" s="109">
        <v>0</v>
      </c>
      <c r="M6" s="109">
        <v>0</v>
      </c>
      <c r="N6" s="109">
        <v>92</v>
      </c>
      <c r="O6" s="109">
        <v>0</v>
      </c>
      <c r="P6" s="109">
        <v>0</v>
      </c>
      <c r="Q6" s="109"/>
      <c r="S6" s="481" t="s">
        <v>36</v>
      </c>
      <c r="T6" s="480">
        <f>SUM(T4:T5)</f>
        <v>8740</v>
      </c>
    </row>
    <row r="7" spans="1:48" x14ac:dyDescent="0.3">
      <c r="A7" s="493" t="s">
        <v>13</v>
      </c>
      <c r="B7" s="488">
        <v>30</v>
      </c>
      <c r="C7" s="494">
        <v>6</v>
      </c>
      <c r="E7" s="440" t="s">
        <v>43</v>
      </c>
      <c r="F7" s="109"/>
      <c r="G7" s="109">
        <v>92</v>
      </c>
      <c r="H7" s="109">
        <v>0</v>
      </c>
      <c r="I7" s="109">
        <v>0</v>
      </c>
      <c r="J7" s="109">
        <v>0</v>
      </c>
      <c r="K7" s="109">
        <v>0</v>
      </c>
      <c r="L7" s="109">
        <v>0</v>
      </c>
      <c r="M7" s="109">
        <v>0</v>
      </c>
      <c r="N7" s="109">
        <v>0</v>
      </c>
      <c r="O7" s="109">
        <v>92</v>
      </c>
      <c r="P7" s="109">
        <v>0</v>
      </c>
      <c r="Q7" s="109">
        <v>0</v>
      </c>
    </row>
    <row r="8" spans="1:48" x14ac:dyDescent="0.3">
      <c r="A8" s="493" t="s">
        <v>15</v>
      </c>
      <c r="B8" s="488">
        <v>6</v>
      </c>
      <c r="C8" s="494">
        <v>25</v>
      </c>
      <c r="E8" s="441" t="s">
        <v>45</v>
      </c>
      <c r="F8" s="413"/>
      <c r="G8" s="454">
        <f>F6-G4</f>
        <v>85</v>
      </c>
      <c r="H8" s="454">
        <f t="shared" ref="H8:Q8" si="0">G8+G6-H4</f>
        <v>72</v>
      </c>
      <c r="I8" s="454">
        <f t="shared" si="0"/>
        <v>66</v>
      </c>
      <c r="J8" s="454">
        <f t="shared" si="0"/>
        <v>53</v>
      </c>
      <c r="K8" s="454">
        <f t="shared" si="0"/>
        <v>47</v>
      </c>
      <c r="L8" s="454">
        <f t="shared" si="0"/>
        <v>22</v>
      </c>
      <c r="M8" s="454">
        <f t="shared" si="0"/>
        <v>12</v>
      </c>
      <c r="N8" s="454">
        <f t="shared" si="0"/>
        <v>4</v>
      </c>
      <c r="O8" s="454">
        <f t="shared" si="0"/>
        <v>61</v>
      </c>
      <c r="P8" s="454">
        <f t="shared" si="0"/>
        <v>27</v>
      </c>
      <c r="Q8" s="454">
        <f t="shared" si="0"/>
        <v>1</v>
      </c>
    </row>
    <row r="9" spans="1:48" x14ac:dyDescent="0.3">
      <c r="A9" s="493" t="s">
        <v>17</v>
      </c>
      <c r="B9" s="488">
        <v>8</v>
      </c>
      <c r="C9" s="494">
        <v>10</v>
      </c>
    </row>
    <row r="10" spans="1:48" x14ac:dyDescent="0.3">
      <c r="A10" s="493" t="s">
        <v>19</v>
      </c>
      <c r="B10" s="488">
        <v>42</v>
      </c>
      <c r="C10" s="494">
        <v>8</v>
      </c>
      <c r="Y10" t="s">
        <v>203</v>
      </c>
      <c r="Z10">
        <f>C16</f>
        <v>2300</v>
      </c>
      <c r="AA10" t="s">
        <v>267</v>
      </c>
      <c r="AB10">
        <f>C19</f>
        <v>9.2000000000000011</v>
      </c>
      <c r="AM10" t="s">
        <v>203</v>
      </c>
      <c r="AN10">
        <v>2300</v>
      </c>
      <c r="AO10" t="s">
        <v>267</v>
      </c>
      <c r="AP10">
        <f>C19</f>
        <v>9.2000000000000011</v>
      </c>
    </row>
    <row r="11" spans="1:48" x14ac:dyDescent="0.3">
      <c r="A11" s="493" t="s">
        <v>21</v>
      </c>
      <c r="B11" s="488">
        <v>34</v>
      </c>
      <c r="C11" s="494">
        <v>35</v>
      </c>
      <c r="H11">
        <v>1</v>
      </c>
      <c r="I11">
        <v>2</v>
      </c>
      <c r="J11">
        <v>3</v>
      </c>
      <c r="K11">
        <v>4</v>
      </c>
      <c r="L11">
        <v>5</v>
      </c>
      <c r="M11">
        <v>6</v>
      </c>
      <c r="N11">
        <v>7</v>
      </c>
      <c r="O11">
        <v>8</v>
      </c>
      <c r="P11">
        <v>9</v>
      </c>
      <c r="Q11">
        <v>10</v>
      </c>
      <c r="R11">
        <v>11</v>
      </c>
      <c r="X11">
        <v>1</v>
      </c>
      <c r="Y11">
        <v>2</v>
      </c>
      <c r="Z11">
        <v>3</v>
      </c>
      <c r="AA11">
        <v>4</v>
      </c>
      <c r="AB11">
        <v>5</v>
      </c>
      <c r="AC11">
        <v>6</v>
      </c>
      <c r="AD11">
        <v>7</v>
      </c>
      <c r="AE11">
        <v>8</v>
      </c>
      <c r="AF11">
        <v>9</v>
      </c>
      <c r="AG11">
        <v>10</v>
      </c>
      <c r="AH11">
        <v>11</v>
      </c>
      <c r="AL11">
        <v>1</v>
      </c>
      <c r="AM11">
        <v>2</v>
      </c>
      <c r="AN11">
        <v>3</v>
      </c>
      <c r="AO11">
        <v>4</v>
      </c>
      <c r="AP11">
        <v>5</v>
      </c>
      <c r="AQ11">
        <v>6</v>
      </c>
      <c r="AR11">
        <v>7</v>
      </c>
      <c r="AS11">
        <v>8</v>
      </c>
      <c r="AT11">
        <v>9</v>
      </c>
      <c r="AU11">
        <v>10</v>
      </c>
      <c r="AV11">
        <v>11</v>
      </c>
    </row>
    <row r="12" spans="1:48" x14ac:dyDescent="0.3">
      <c r="A12" s="493" t="s">
        <v>23</v>
      </c>
      <c r="B12" s="488">
        <v>24</v>
      </c>
      <c r="C12" s="494">
        <v>34</v>
      </c>
      <c r="F12" s="486" t="s">
        <v>246</v>
      </c>
      <c r="G12" s="487" t="s">
        <v>163</v>
      </c>
      <c r="H12" s="488">
        <v>7</v>
      </c>
      <c r="I12" s="488">
        <v>13</v>
      </c>
      <c r="J12" s="488">
        <v>6</v>
      </c>
      <c r="K12" s="488">
        <v>13</v>
      </c>
      <c r="L12" s="488">
        <v>6</v>
      </c>
      <c r="M12" s="488">
        <v>25</v>
      </c>
      <c r="N12" s="488">
        <v>10</v>
      </c>
      <c r="O12" s="488">
        <v>8</v>
      </c>
      <c r="P12" s="488">
        <v>35</v>
      </c>
      <c r="Q12" s="488">
        <v>34</v>
      </c>
      <c r="R12" s="488">
        <v>26</v>
      </c>
      <c r="V12" s="485" t="s">
        <v>96</v>
      </c>
      <c r="W12" s="497" t="s">
        <v>163</v>
      </c>
      <c r="X12" s="494">
        <v>7</v>
      </c>
      <c r="Y12" s="494">
        <v>13</v>
      </c>
      <c r="Z12" s="494">
        <v>6</v>
      </c>
      <c r="AA12" s="494">
        <v>13</v>
      </c>
      <c r="AB12" s="494">
        <v>6</v>
      </c>
      <c r="AC12" s="494">
        <v>25</v>
      </c>
      <c r="AD12" s="494">
        <v>10</v>
      </c>
      <c r="AE12" s="494">
        <v>8</v>
      </c>
      <c r="AF12" s="494">
        <v>35</v>
      </c>
      <c r="AG12" s="494">
        <v>34</v>
      </c>
      <c r="AH12" s="494">
        <v>26</v>
      </c>
      <c r="AJ12" s="485" t="s">
        <v>164</v>
      </c>
      <c r="AK12" s="507" t="s">
        <v>163</v>
      </c>
      <c r="AL12" s="494">
        <v>7</v>
      </c>
      <c r="AM12" s="494">
        <v>13</v>
      </c>
      <c r="AN12" s="494">
        <v>6</v>
      </c>
      <c r="AO12" s="494">
        <v>13</v>
      </c>
      <c r="AP12" s="494">
        <v>6</v>
      </c>
      <c r="AQ12" s="494">
        <v>25</v>
      </c>
      <c r="AR12" s="494">
        <v>10</v>
      </c>
      <c r="AS12" s="494">
        <v>8</v>
      </c>
      <c r="AT12" s="494">
        <v>35</v>
      </c>
      <c r="AU12" s="494">
        <v>34</v>
      </c>
      <c r="AV12" s="494">
        <v>26</v>
      </c>
    </row>
    <row r="13" spans="1:48" x14ac:dyDescent="0.3">
      <c r="A13" s="493" t="s">
        <v>28</v>
      </c>
      <c r="B13" s="488">
        <v>40</v>
      </c>
      <c r="C13" s="494">
        <v>26</v>
      </c>
      <c r="H13" s="489" t="s">
        <v>165</v>
      </c>
      <c r="I13" s="489"/>
      <c r="J13" s="489"/>
      <c r="K13" s="490"/>
      <c r="W13" s="480" t="s">
        <v>165</v>
      </c>
      <c r="X13" s="480"/>
      <c r="Y13" s="480"/>
      <c r="AK13" s="498" t="s">
        <v>165</v>
      </c>
      <c r="AL13" s="500"/>
    </row>
    <row r="14" spans="1:48" x14ac:dyDescent="0.3">
      <c r="H14" s="480" t="s">
        <v>82</v>
      </c>
      <c r="I14" s="480">
        <f>C16</f>
        <v>2300</v>
      </c>
      <c r="J14" s="480"/>
      <c r="K14" s="480"/>
      <c r="W14" s="480" t="s">
        <v>82</v>
      </c>
      <c r="X14" s="480">
        <f>Z10/X12</f>
        <v>328.57142857142856</v>
      </c>
      <c r="Y14" s="480"/>
      <c r="Z14" s="496" t="s">
        <v>126</v>
      </c>
      <c r="AA14" s="494">
        <v>7</v>
      </c>
      <c r="AC14" s="480" t="s">
        <v>29</v>
      </c>
      <c r="AD14" s="480">
        <f>11*Z10</f>
        <v>25300</v>
      </c>
      <c r="AK14" s="501"/>
      <c r="AL14" s="480"/>
      <c r="AM14" s="498" t="s">
        <v>273</v>
      </c>
      <c r="AN14" s="499">
        <f>SUM(AL12:AR12)</f>
        <v>80</v>
      </c>
      <c r="AO14" s="500"/>
    </row>
    <row r="15" spans="1:48" x14ac:dyDescent="0.3">
      <c r="A15" s="495" t="s">
        <v>286</v>
      </c>
      <c r="C15">
        <f>AVERAGE(C3:C13)</f>
        <v>16.636363636363637</v>
      </c>
      <c r="H15" s="480" t="s">
        <v>200</v>
      </c>
      <c r="I15" s="480">
        <f>(I14+C19*I12)/2</f>
        <v>1209.8</v>
      </c>
      <c r="J15" s="480"/>
      <c r="K15" s="480"/>
      <c r="M15" s="480" t="s">
        <v>287</v>
      </c>
      <c r="N15" s="480">
        <f>SUM(H12:L12)</f>
        <v>45</v>
      </c>
      <c r="W15" s="480" t="s">
        <v>85</v>
      </c>
      <c r="X15" s="480">
        <f>(Z10+AB10*Y12)/X12+Y12</f>
        <v>358.65714285714284</v>
      </c>
      <c r="Y15" s="480" t="s">
        <v>168</v>
      </c>
      <c r="Z15" s="496" t="s">
        <v>145</v>
      </c>
      <c r="AA15" s="494">
        <v>13</v>
      </c>
      <c r="AC15" s="480" t="s">
        <v>33</v>
      </c>
      <c r="AD15" s="480">
        <v>0</v>
      </c>
      <c r="AK15" s="501">
        <v>1</v>
      </c>
      <c r="AL15" s="480">
        <v>0</v>
      </c>
      <c r="AM15" s="501" t="s">
        <v>288</v>
      </c>
      <c r="AN15" s="480">
        <f>SUM(AS12:AV12)</f>
        <v>103</v>
      </c>
      <c r="AO15" s="502"/>
    </row>
    <row r="16" spans="1:48" x14ac:dyDescent="0.3">
      <c r="A16" s="495" t="s">
        <v>203</v>
      </c>
      <c r="C16" s="289">
        <v>2300</v>
      </c>
      <c r="H16" s="480" t="s">
        <v>86</v>
      </c>
      <c r="I16" s="480">
        <f>(I14+C19*I12+2*C19*J12)/3</f>
        <v>843.33333333333337</v>
      </c>
      <c r="J16" s="480"/>
      <c r="K16" s="480"/>
      <c r="M16" s="480" t="s">
        <v>289</v>
      </c>
      <c r="N16" s="480">
        <f>SUM(M12:O12)</f>
        <v>43</v>
      </c>
      <c r="W16" s="480"/>
      <c r="X16" s="480"/>
      <c r="Y16" s="480"/>
      <c r="Z16" s="496" t="s">
        <v>170</v>
      </c>
      <c r="AA16" s="494">
        <v>6</v>
      </c>
      <c r="AC16" s="480" t="s">
        <v>36</v>
      </c>
      <c r="AD16" s="480">
        <f>SUM(AD14:AD15)</f>
        <v>25300</v>
      </c>
      <c r="AK16" s="501">
        <v>2</v>
      </c>
      <c r="AL16" s="480">
        <f>AP10*AM12</f>
        <v>119.60000000000001</v>
      </c>
      <c r="AM16" s="501"/>
      <c r="AN16" s="480"/>
      <c r="AO16" s="502"/>
    </row>
    <row r="17" spans="1:44" x14ac:dyDescent="0.3">
      <c r="A17" s="495" t="s">
        <v>290</v>
      </c>
      <c r="C17">
        <v>0.46</v>
      </c>
      <c r="H17" s="480" t="s">
        <v>87</v>
      </c>
      <c r="I17" s="480">
        <f>(I14+C19*I12+2*C19*J12+3*C19*K12)/4</f>
        <v>722.2</v>
      </c>
      <c r="J17" s="480"/>
      <c r="K17" s="480"/>
      <c r="M17" s="480" t="s">
        <v>291</v>
      </c>
      <c r="N17" s="480">
        <f>SUM(P12:R12)</f>
        <v>95</v>
      </c>
      <c r="W17" s="480"/>
      <c r="X17" s="480"/>
      <c r="Y17" s="480"/>
      <c r="Z17" s="496" t="s">
        <v>173</v>
      </c>
      <c r="AA17" s="494">
        <v>13</v>
      </c>
      <c r="AD17" s="14"/>
      <c r="AK17" s="501">
        <v>3</v>
      </c>
      <c r="AL17" s="480">
        <f>AP10*AM12+2*AP10*AN12</f>
        <v>230</v>
      </c>
      <c r="AM17" s="503"/>
      <c r="AN17" s="504"/>
      <c r="AO17" s="505"/>
    </row>
    <row r="18" spans="1:44" x14ac:dyDescent="0.3">
      <c r="A18" s="495" t="s">
        <v>271</v>
      </c>
      <c r="C18">
        <v>20</v>
      </c>
      <c r="H18" s="480" t="s">
        <v>90</v>
      </c>
      <c r="I18" s="480">
        <f>(I14+C19*I12+2*C19*J12+3*C19*K12+4*C19*L12)/5</f>
        <v>621.92000000000007</v>
      </c>
      <c r="J18" s="480"/>
      <c r="K18" s="480"/>
      <c r="M18" s="480"/>
      <c r="N18" s="480"/>
      <c r="W18" s="480" t="s">
        <v>172</v>
      </c>
      <c r="X18" s="480"/>
      <c r="Y18" s="480"/>
      <c r="Z18" s="496" t="s">
        <v>174</v>
      </c>
      <c r="AA18" s="494">
        <v>6</v>
      </c>
      <c r="AK18" s="501">
        <v>4</v>
      </c>
      <c r="AL18" s="502">
        <f>AP10*AM12+2*AP10*AN12+3*AP10*AO12</f>
        <v>588.79999999999995</v>
      </c>
      <c r="AM18" s="480"/>
      <c r="AN18" s="480"/>
      <c r="AO18" s="480"/>
    </row>
    <row r="19" spans="1:44" x14ac:dyDescent="0.3">
      <c r="A19" s="495" t="s">
        <v>202</v>
      </c>
      <c r="C19">
        <f>C17*C18</f>
        <v>9.2000000000000011</v>
      </c>
      <c r="H19" s="480" t="s">
        <v>91</v>
      </c>
      <c r="I19" s="480">
        <f>(I14+C19*I12+2*C19*J12+3*C19*K12+4*C19*L12+5*C19*M12)/6</f>
        <v>709.93333333333339</v>
      </c>
      <c r="J19" s="480" t="s">
        <v>261</v>
      </c>
      <c r="K19" s="480"/>
      <c r="M19" s="480" t="s">
        <v>29</v>
      </c>
      <c r="N19" s="480">
        <f>3*C16</f>
        <v>6900</v>
      </c>
      <c r="W19" s="480" t="s">
        <v>82</v>
      </c>
      <c r="X19" s="480">
        <f>Z10/Y12</f>
        <v>176.92307692307693</v>
      </c>
      <c r="Y19" s="480"/>
      <c r="Z19" s="496" t="s">
        <v>153</v>
      </c>
      <c r="AA19" s="494">
        <v>25</v>
      </c>
      <c r="AK19" s="501">
        <v>5</v>
      </c>
      <c r="AL19" s="480">
        <f>AP10*AM12+2*AP10*AN12+3*AP10*AO12+4*AP10*AP12</f>
        <v>809.59999999999991</v>
      </c>
      <c r="AM19" s="485"/>
      <c r="AN19" s="485" t="s">
        <v>234</v>
      </c>
      <c r="AO19" s="485" t="s">
        <v>128</v>
      </c>
      <c r="AQ19" s="480" t="s">
        <v>29</v>
      </c>
      <c r="AR19" s="480">
        <f>2*AN10</f>
        <v>4600</v>
      </c>
    </row>
    <row r="20" spans="1:44" x14ac:dyDescent="0.3">
      <c r="H20" s="480"/>
      <c r="I20" s="480"/>
      <c r="J20" s="480"/>
      <c r="K20" s="480"/>
      <c r="M20" s="480" t="s">
        <v>33</v>
      </c>
      <c r="N20" s="480">
        <f>SUM(O25:O35)*C19</f>
        <v>1840.0000000000002</v>
      </c>
      <c r="W20" s="480" t="s">
        <v>85</v>
      </c>
      <c r="X20" s="480">
        <f>(Z10+AB10*Z12)/Y12+Z12</f>
        <v>187.16923076923075</v>
      </c>
      <c r="Y20" s="480" t="s">
        <v>168</v>
      </c>
      <c r="Z20" s="496" t="s">
        <v>151</v>
      </c>
      <c r="AA20" s="494">
        <v>10</v>
      </c>
      <c r="AK20" s="501">
        <v>6</v>
      </c>
      <c r="AL20" s="480">
        <f>AP10*AM12+2*AP10*AN12+3*AP10*AO12+4*AP10*AP12+5*AP10*AQ12</f>
        <v>1959.6000000000001</v>
      </c>
      <c r="AM20" s="485" t="s">
        <v>5</v>
      </c>
      <c r="AN20" s="485">
        <v>80</v>
      </c>
      <c r="AO20" s="485">
        <f>AN20-AL12</f>
        <v>73</v>
      </c>
      <c r="AQ20" s="480" t="s">
        <v>219</v>
      </c>
      <c r="AR20" s="480">
        <f>SUM(AO20:AO30)*AP10</f>
        <v>4176.8</v>
      </c>
    </row>
    <row r="21" spans="1:44" x14ac:dyDescent="0.3">
      <c r="H21" s="480" t="s">
        <v>292</v>
      </c>
      <c r="I21" s="480"/>
      <c r="J21" s="480"/>
      <c r="K21" s="480"/>
      <c r="M21" s="480" t="s">
        <v>36</v>
      </c>
      <c r="N21" s="480">
        <f>SUM(N19:N20)</f>
        <v>8740</v>
      </c>
      <c r="W21" s="480" t="s">
        <v>176</v>
      </c>
      <c r="X21" s="480"/>
      <c r="Y21" s="480"/>
      <c r="Z21" s="496" t="s">
        <v>156</v>
      </c>
      <c r="AA21" s="494">
        <v>8</v>
      </c>
      <c r="AK21" s="501" t="s">
        <v>293</v>
      </c>
      <c r="AL21" s="480">
        <f>AP10*AM12+2*AP10*AN12+3*AP10*AO12+4*AP10*AP12+5*AP10*AQ12+6*AP10*AR12</f>
        <v>2511.6000000000004</v>
      </c>
      <c r="AM21" s="485" t="s">
        <v>7</v>
      </c>
      <c r="AN21" s="485"/>
      <c r="AO21" s="485">
        <f>AO20-AM12</f>
        <v>60</v>
      </c>
      <c r="AQ21" s="480" t="s">
        <v>36</v>
      </c>
      <c r="AR21" s="480">
        <f>SUM(AR19:AR20)</f>
        <v>8776.7999999999993</v>
      </c>
    </row>
    <row r="22" spans="1:44" x14ac:dyDescent="0.3">
      <c r="H22" s="480" t="s">
        <v>82</v>
      </c>
      <c r="I22" s="480">
        <f>C16</f>
        <v>2300</v>
      </c>
      <c r="J22" s="480"/>
      <c r="K22" s="480"/>
      <c r="W22" s="480" t="s">
        <v>82</v>
      </c>
      <c r="X22" s="480">
        <f>Z10/Z12</f>
        <v>383.33333333333331</v>
      </c>
      <c r="Y22" s="480"/>
      <c r="Z22" s="496" t="s">
        <v>178</v>
      </c>
      <c r="AA22" s="494">
        <v>35</v>
      </c>
      <c r="AK22" s="506">
        <v>8</v>
      </c>
      <c r="AL22" s="480">
        <f>AP10*AM12+2*AP10*AN12+3*AP10*AO12+4*AP10*AP12+5*AP10*AQ12+6*AP10*AR12+7*AP10*AS12</f>
        <v>3026.8</v>
      </c>
      <c r="AM22" s="485" t="s">
        <v>9</v>
      </c>
      <c r="AN22" s="485"/>
      <c r="AO22" s="485">
        <f>AO21-AN12</f>
        <v>54</v>
      </c>
    </row>
    <row r="23" spans="1:44" x14ac:dyDescent="0.3">
      <c r="H23" s="480" t="s">
        <v>85</v>
      </c>
      <c r="I23" s="480">
        <f>(I22+C19*N12)/2</f>
        <v>1196</v>
      </c>
      <c r="J23" s="480"/>
      <c r="K23" s="480"/>
      <c r="W23" s="480" t="s">
        <v>85</v>
      </c>
      <c r="X23" s="480">
        <f>(Z10+AB10*AA12)/Z12+AA12</f>
        <v>416.26666666666665</v>
      </c>
      <c r="Y23" s="480" t="s">
        <v>168</v>
      </c>
      <c r="Z23" s="496" t="s">
        <v>179</v>
      </c>
      <c r="AA23" s="494">
        <v>34</v>
      </c>
      <c r="AK23" s="506" t="s">
        <v>190</v>
      </c>
      <c r="AL23" s="480"/>
      <c r="AM23" s="485" t="s">
        <v>11</v>
      </c>
      <c r="AN23" s="485"/>
      <c r="AO23" s="485">
        <f>AO22-AO12</f>
        <v>41</v>
      </c>
    </row>
    <row r="24" spans="1:44" x14ac:dyDescent="0.3">
      <c r="H24" s="480" t="s">
        <v>86</v>
      </c>
      <c r="I24" s="480">
        <f>(I22+C19*N12+2*C19*O12)/3</f>
        <v>846.4</v>
      </c>
      <c r="J24" s="480"/>
      <c r="K24" s="480"/>
      <c r="M24" s="482"/>
      <c r="N24" s="483" t="s">
        <v>127</v>
      </c>
      <c r="O24" s="483" t="s">
        <v>128</v>
      </c>
      <c r="W24" s="480" t="s">
        <v>181</v>
      </c>
      <c r="X24" s="480"/>
      <c r="Y24" s="480"/>
      <c r="Z24" s="496" t="s">
        <v>180</v>
      </c>
      <c r="AA24" s="494">
        <v>26</v>
      </c>
      <c r="AK24" s="501">
        <v>1</v>
      </c>
      <c r="AL24" s="480">
        <v>0</v>
      </c>
      <c r="AM24" s="485" t="s">
        <v>13</v>
      </c>
      <c r="AN24" s="485"/>
      <c r="AO24" s="485">
        <f>AO23-AP12</f>
        <v>35</v>
      </c>
    </row>
    <row r="25" spans="1:44" x14ac:dyDescent="0.3">
      <c r="H25" s="480" t="s">
        <v>87</v>
      </c>
      <c r="I25" s="480">
        <f>(I22+C19*N12+2*C19*O12+3*C19*P12)/4</f>
        <v>876.3</v>
      </c>
      <c r="J25" s="480" t="s">
        <v>216</v>
      </c>
      <c r="K25" s="480"/>
      <c r="M25" s="484" t="s">
        <v>5</v>
      </c>
      <c r="N25" s="485">
        <v>45</v>
      </c>
      <c r="O25" s="485">
        <f>N25-H12</f>
        <v>38</v>
      </c>
      <c r="W25" s="480" t="s">
        <v>82</v>
      </c>
      <c r="X25" s="480">
        <f>Z10/AA12</f>
        <v>176.92307692307693</v>
      </c>
      <c r="Y25" s="480"/>
      <c r="AK25" s="501">
        <v>2</v>
      </c>
      <c r="AL25" s="480">
        <f>AP10*AT12</f>
        <v>322.00000000000006</v>
      </c>
      <c r="AM25" s="485" t="s">
        <v>15</v>
      </c>
      <c r="AN25" s="485"/>
      <c r="AO25" s="485">
        <f>AO24-AQ12</f>
        <v>10</v>
      </c>
    </row>
    <row r="26" spans="1:44" x14ac:dyDescent="0.3">
      <c r="H26" s="480"/>
      <c r="I26" s="480"/>
      <c r="J26" s="480"/>
      <c r="K26" s="480"/>
      <c r="M26" s="484" t="s">
        <v>7</v>
      </c>
      <c r="N26" s="485"/>
      <c r="O26" s="485">
        <f>O25-I12</f>
        <v>25</v>
      </c>
      <c r="W26" s="480" t="s">
        <v>85</v>
      </c>
      <c r="X26" s="480">
        <f>(Z10+AB10*AB12)/AA12+AB12</f>
        <v>187.16923076923075</v>
      </c>
      <c r="Y26" s="480" t="s">
        <v>168</v>
      </c>
      <c r="AK26" s="501">
        <v>3</v>
      </c>
      <c r="AL26" s="480">
        <f>AP10*AT12+2*AP10*AU12</f>
        <v>947.60000000000014</v>
      </c>
      <c r="AM26" s="485" t="s">
        <v>17</v>
      </c>
      <c r="AN26" s="485"/>
      <c r="AO26" s="485">
        <f>AO25-AR12</f>
        <v>0</v>
      </c>
    </row>
    <row r="27" spans="1:44" x14ac:dyDescent="0.3">
      <c r="H27" s="480" t="s">
        <v>294</v>
      </c>
      <c r="I27" s="480"/>
      <c r="J27" s="480"/>
      <c r="K27" s="480"/>
      <c r="M27" s="484" t="s">
        <v>9</v>
      </c>
      <c r="N27" s="485"/>
      <c r="O27" s="485">
        <f>O26-J12</f>
        <v>19</v>
      </c>
      <c r="W27" s="480" t="s">
        <v>183</v>
      </c>
      <c r="X27" s="480"/>
      <c r="Y27" s="480"/>
      <c r="AK27" s="501">
        <v>4</v>
      </c>
      <c r="AL27" s="480">
        <f>AP10*AT12+2*AP10*AU12+3*AP10*AV12</f>
        <v>1665.2000000000003</v>
      </c>
      <c r="AM27" s="485" t="s">
        <v>19</v>
      </c>
      <c r="AN27" s="485">
        <v>103</v>
      </c>
      <c r="AO27" s="485">
        <f>AN27-AS12</f>
        <v>95</v>
      </c>
    </row>
    <row r="28" spans="1:44" x14ac:dyDescent="0.3">
      <c r="H28" s="480" t="s">
        <v>82</v>
      </c>
      <c r="I28" s="480">
        <f>I22</f>
        <v>2300</v>
      </c>
      <c r="J28" s="480"/>
      <c r="K28" s="480"/>
      <c r="M28" s="484" t="s">
        <v>11</v>
      </c>
      <c r="N28" s="485"/>
      <c r="O28" s="485">
        <f>O27-K12</f>
        <v>6</v>
      </c>
      <c r="W28" s="480" t="s">
        <v>82</v>
      </c>
      <c r="X28" s="480">
        <f>Z10/AB12</f>
        <v>383.33333333333331</v>
      </c>
      <c r="Y28" s="480"/>
      <c r="AK28" s="501" t="s">
        <v>295</v>
      </c>
      <c r="AL28" s="480">
        <f>AP10*AR12+2*AP10*AS12+3*AP10*AT12+4*AP10*AU12</f>
        <v>2456.4</v>
      </c>
      <c r="AM28" s="485" t="s">
        <v>21</v>
      </c>
      <c r="AN28" s="485"/>
      <c r="AO28" s="485">
        <f>AO27-AT12</f>
        <v>60</v>
      </c>
    </row>
    <row r="29" spans="1:44" x14ac:dyDescent="0.3">
      <c r="H29" s="480" t="s">
        <v>85</v>
      </c>
      <c r="I29" s="480">
        <f>(I28+C19*Q12)/2</f>
        <v>1306.4000000000001</v>
      </c>
      <c r="J29" s="480"/>
      <c r="K29" s="480"/>
      <c r="M29" s="484" t="s">
        <v>13</v>
      </c>
      <c r="N29" s="485"/>
      <c r="O29" s="485">
        <f>O28-L12</f>
        <v>0</v>
      </c>
      <c r="W29" s="480" t="s">
        <v>85</v>
      </c>
      <c r="X29" s="480">
        <f>(Z10+AB10*AC12)/AB12+AC12</f>
        <v>446.66666666666669</v>
      </c>
      <c r="Y29" s="480" t="s">
        <v>168</v>
      </c>
      <c r="AB29" s="242"/>
      <c r="AC29" s="110"/>
      <c r="AD29" s="110"/>
      <c r="AK29" s="501">
        <v>6</v>
      </c>
      <c r="AL29" s="480">
        <f>AP10*AS12+2*AP10*AT12+3*AP10*AU12+4*AP10*AV12</f>
        <v>2612.8000000000002</v>
      </c>
      <c r="AM29" s="485" t="s">
        <v>23</v>
      </c>
      <c r="AN29" s="485"/>
      <c r="AO29" s="485">
        <f>AO28-AU12</f>
        <v>26</v>
      </c>
    </row>
    <row r="30" spans="1:44" x14ac:dyDescent="0.3">
      <c r="H30" s="480" t="s">
        <v>86</v>
      </c>
      <c r="I30" s="480">
        <f>(I28+C19*Q12+2*C19*R12)/3</f>
        <v>1030.4000000000001</v>
      </c>
      <c r="J30" s="480" t="s">
        <v>283</v>
      </c>
      <c r="K30" s="480"/>
      <c r="M30" s="484" t="s">
        <v>15</v>
      </c>
      <c r="N30" s="485">
        <v>43</v>
      </c>
      <c r="O30" s="485">
        <f>N30-M12</f>
        <v>18</v>
      </c>
      <c r="W30" s="480" t="s">
        <v>185</v>
      </c>
      <c r="X30" s="480"/>
      <c r="Y30" s="480"/>
      <c r="AB30" s="111"/>
      <c r="AC30" s="14"/>
      <c r="AD30" s="14"/>
      <c r="AK30" s="501"/>
      <c r="AL30" s="480"/>
      <c r="AM30" s="485" t="s">
        <v>28</v>
      </c>
      <c r="AN30" s="485"/>
      <c r="AO30" s="485">
        <f>AO29-AV12</f>
        <v>0</v>
      </c>
    </row>
    <row r="31" spans="1:44" x14ac:dyDescent="0.3">
      <c r="H31" s="480"/>
      <c r="I31" s="480"/>
      <c r="J31" s="480"/>
      <c r="K31" s="480"/>
      <c r="M31" s="484" t="s">
        <v>17</v>
      </c>
      <c r="N31" s="485"/>
      <c r="O31" s="485">
        <f>O30-N12</f>
        <v>8</v>
      </c>
      <c r="W31" s="480" t="s">
        <v>82</v>
      </c>
      <c r="X31" s="480">
        <f>Z10/AC12</f>
        <v>92</v>
      </c>
      <c r="Y31" s="480"/>
      <c r="AB31" s="111"/>
      <c r="AD31" s="14"/>
      <c r="AK31" s="501"/>
      <c r="AL31" s="502"/>
    </row>
    <row r="32" spans="1:44" x14ac:dyDescent="0.3">
      <c r="H32" s="480"/>
      <c r="I32" s="480"/>
      <c r="J32" s="480"/>
      <c r="K32" s="480"/>
      <c r="M32" s="484" t="s">
        <v>19</v>
      </c>
      <c r="N32" s="485"/>
      <c r="O32" s="485">
        <f>O31-O12</f>
        <v>0</v>
      </c>
      <c r="W32" s="480" t="s">
        <v>85</v>
      </c>
      <c r="X32" s="480">
        <f>(Z10+AB10*AD12)/AC12+AD12</f>
        <v>105.68</v>
      </c>
      <c r="Y32" s="480" t="s">
        <v>168</v>
      </c>
      <c r="AB32" s="111"/>
      <c r="AD32" s="14"/>
      <c r="AK32" s="501"/>
      <c r="AL32" s="502"/>
    </row>
    <row r="33" spans="8:38" x14ac:dyDescent="0.3">
      <c r="H33" s="480"/>
      <c r="I33" s="480"/>
      <c r="J33" s="480"/>
      <c r="K33" s="480"/>
      <c r="M33" s="484" t="s">
        <v>21</v>
      </c>
      <c r="N33" s="485">
        <v>95</v>
      </c>
      <c r="O33" s="485">
        <f>N33-P12</f>
        <v>60</v>
      </c>
      <c r="W33" s="480" t="s">
        <v>188</v>
      </c>
      <c r="X33" s="480"/>
      <c r="Y33" s="480"/>
      <c r="AB33" s="111"/>
      <c r="AD33" s="14"/>
      <c r="AK33" s="501"/>
      <c r="AL33" s="502"/>
    </row>
    <row r="34" spans="8:38" x14ac:dyDescent="0.3">
      <c r="H34" s="480"/>
      <c r="I34" s="480"/>
      <c r="J34" s="480"/>
      <c r="K34" s="480"/>
      <c r="M34" s="484" t="s">
        <v>23</v>
      </c>
      <c r="N34" s="485"/>
      <c r="O34" s="485">
        <f>O33-Q12</f>
        <v>26</v>
      </c>
      <c r="W34" s="480" t="s">
        <v>82</v>
      </c>
      <c r="X34" s="480">
        <f>Z10/AD12</f>
        <v>230</v>
      </c>
      <c r="Y34" s="480"/>
      <c r="AB34" s="111"/>
      <c r="AD34" s="14"/>
      <c r="AK34" s="501" t="s">
        <v>196</v>
      </c>
      <c r="AL34" s="502"/>
    </row>
    <row r="35" spans="8:38" x14ac:dyDescent="0.3">
      <c r="H35" s="480"/>
      <c r="I35" s="480"/>
      <c r="J35" s="480"/>
      <c r="K35" s="480"/>
      <c r="M35" s="484" t="s">
        <v>28</v>
      </c>
      <c r="N35" s="485"/>
      <c r="O35" s="485">
        <f>O34-R12</f>
        <v>0</v>
      </c>
      <c r="W35" s="480" t="s">
        <v>85</v>
      </c>
      <c r="X35" s="480">
        <f>(Z10+AB10*AE12)/AD12+AE12</f>
        <v>245.35999999999999</v>
      </c>
      <c r="Y35" s="480" t="s">
        <v>168</v>
      </c>
      <c r="AB35" s="111"/>
      <c r="AD35" s="14"/>
      <c r="AK35" s="501" t="s">
        <v>166</v>
      </c>
      <c r="AL35" s="502"/>
    </row>
    <row r="36" spans="8:38" x14ac:dyDescent="0.3">
      <c r="H36" s="480"/>
      <c r="I36" s="480"/>
      <c r="J36" s="480"/>
      <c r="K36" s="480"/>
      <c r="W36" s="480" t="s">
        <v>190</v>
      </c>
      <c r="X36" s="480"/>
      <c r="Y36" s="480"/>
      <c r="AB36" s="111"/>
      <c r="AD36" s="14"/>
      <c r="AK36" s="501">
        <v>1</v>
      </c>
      <c r="AL36" s="502"/>
    </row>
    <row r="37" spans="8:38" x14ac:dyDescent="0.3">
      <c r="H37" s="480"/>
      <c r="I37" s="480"/>
      <c r="J37" s="480"/>
      <c r="K37" s="480"/>
      <c r="W37" s="480" t="s">
        <v>82</v>
      </c>
      <c r="X37" s="480">
        <f>Z10/AE12</f>
        <v>287.5</v>
      </c>
      <c r="Y37" s="480"/>
      <c r="AB37" s="111"/>
      <c r="AD37" s="14"/>
      <c r="AK37" s="501">
        <v>2</v>
      </c>
      <c r="AL37" s="502"/>
    </row>
    <row r="38" spans="8:38" x14ac:dyDescent="0.3">
      <c r="H38" s="480"/>
      <c r="I38" s="480"/>
      <c r="J38" s="480"/>
      <c r="K38" s="480"/>
      <c r="W38" s="480" t="s">
        <v>85</v>
      </c>
      <c r="X38" s="480">
        <f>(Z10+AB10*AF12)/AE12+AF12</f>
        <v>362.75</v>
      </c>
      <c r="Y38" s="480" t="s">
        <v>168</v>
      </c>
      <c r="AB38" s="111"/>
      <c r="AD38" s="14"/>
      <c r="AK38" s="503"/>
      <c r="AL38" s="505"/>
    </row>
    <row r="39" spans="8:38" x14ac:dyDescent="0.3">
      <c r="H39" s="480"/>
      <c r="I39" s="480"/>
      <c r="J39" s="480"/>
      <c r="K39" s="480"/>
      <c r="W39" s="480" t="s">
        <v>193</v>
      </c>
      <c r="X39" s="480"/>
      <c r="Y39" s="480"/>
      <c r="AB39" s="111"/>
      <c r="AD39" s="14"/>
    </row>
    <row r="40" spans="8:38" x14ac:dyDescent="0.3">
      <c r="H40" s="480"/>
      <c r="I40" s="480"/>
      <c r="J40" s="480"/>
      <c r="K40" s="480"/>
      <c r="W40" s="480" t="s">
        <v>82</v>
      </c>
      <c r="X40" s="480">
        <f>Z10/AF12</f>
        <v>65.714285714285708</v>
      </c>
      <c r="Y40" s="480"/>
      <c r="AB40" s="111"/>
      <c r="AD40" s="14"/>
    </row>
    <row r="41" spans="8:38" x14ac:dyDescent="0.3">
      <c r="H41" s="480"/>
      <c r="I41" s="480"/>
      <c r="J41" s="480"/>
      <c r="K41" s="480"/>
      <c r="W41" s="480" t="s">
        <v>85</v>
      </c>
      <c r="X41" s="480">
        <f>(Z10+AB10*AG12)/AF12+AG12</f>
        <v>108.65142857142858</v>
      </c>
      <c r="Y41" s="480" t="s">
        <v>168</v>
      </c>
    </row>
    <row r="42" spans="8:38" x14ac:dyDescent="0.3">
      <c r="H42" s="480"/>
      <c r="I42" s="480"/>
      <c r="J42" s="480"/>
      <c r="K42" s="480"/>
      <c r="W42" s="480" t="s">
        <v>196</v>
      </c>
      <c r="X42" s="480"/>
      <c r="Y42" s="480"/>
    </row>
    <row r="43" spans="8:38" x14ac:dyDescent="0.3">
      <c r="H43" s="480"/>
      <c r="I43" s="480"/>
      <c r="J43" s="480"/>
      <c r="K43" s="480"/>
      <c r="W43" s="480" t="s">
        <v>82</v>
      </c>
      <c r="X43" s="480">
        <f>Z10/AG12</f>
        <v>67.647058823529406</v>
      </c>
      <c r="Y43" s="480"/>
    </row>
    <row r="44" spans="8:38" x14ac:dyDescent="0.3">
      <c r="H44" s="480"/>
      <c r="I44" s="480"/>
      <c r="J44" s="480"/>
      <c r="K44" s="480"/>
      <c r="W44" s="480" t="s">
        <v>85</v>
      </c>
      <c r="X44" s="480">
        <f>(Z10+AB10*AH12)/AG12+AH12</f>
        <v>100.68235294117646</v>
      </c>
      <c r="Y44" s="480" t="s">
        <v>168</v>
      </c>
    </row>
    <row r="45" spans="8:38" x14ac:dyDescent="0.3">
      <c r="H45" s="480"/>
      <c r="I45" s="480"/>
      <c r="J45" s="480"/>
      <c r="K45" s="480"/>
    </row>
    <row r="46" spans="8:38" x14ac:dyDescent="0.3">
      <c r="H46" s="480"/>
      <c r="I46" s="480"/>
      <c r="J46" s="480"/>
      <c r="K46" s="480"/>
    </row>
    <row r="47" spans="8:38" x14ac:dyDescent="0.3">
      <c r="H47" s="480"/>
      <c r="I47" s="480"/>
      <c r="J47" s="480"/>
      <c r="K47" s="480"/>
    </row>
    <row r="48" spans="8:38" x14ac:dyDescent="0.3">
      <c r="H48" s="480"/>
      <c r="I48" s="480"/>
      <c r="J48" s="480"/>
      <c r="K48" s="480"/>
    </row>
    <row r="49" spans="8:11" x14ac:dyDescent="0.3">
      <c r="H49" s="480"/>
      <c r="I49" s="480"/>
      <c r="J49" s="480"/>
      <c r="K49" s="480"/>
    </row>
    <row r="50" spans="8:11" x14ac:dyDescent="0.3">
      <c r="H50" s="480"/>
      <c r="I50" s="480"/>
      <c r="J50" s="480"/>
      <c r="K50" s="480"/>
    </row>
    <row r="51" spans="8:11" x14ac:dyDescent="0.3">
      <c r="H51" s="480"/>
      <c r="I51" s="480"/>
      <c r="J51" s="480"/>
      <c r="K51" s="480"/>
    </row>
    <row r="52" spans="8:11" x14ac:dyDescent="0.3">
      <c r="H52" s="480"/>
      <c r="I52" s="480"/>
      <c r="J52" s="480"/>
      <c r="K52" s="480"/>
    </row>
    <row r="53" spans="8:11" x14ac:dyDescent="0.3">
      <c r="H53" s="480"/>
      <c r="I53" s="480"/>
      <c r="J53" s="480"/>
      <c r="K53" s="480"/>
    </row>
    <row r="54" spans="8:11" x14ac:dyDescent="0.3">
      <c r="H54" s="480"/>
      <c r="I54" s="480"/>
      <c r="J54" s="480"/>
      <c r="K54" s="480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9727-8F07-364E-BD5E-C2B610C65BD7}">
  <dimension ref="A1:AV42"/>
  <sheetViews>
    <sheetView zoomScale="56" workbookViewId="0">
      <selection activeCell="AJ10" sqref="AJ10:AV10"/>
    </sheetView>
  </sheetViews>
  <sheetFormatPr defaultColWidth="11.44140625" defaultRowHeight="14.4" x14ac:dyDescent="0.3"/>
  <cols>
    <col min="3" max="3" width="11.44140625" customWidth="1"/>
    <col min="4" max="4" width="12.6640625" bestFit="1" customWidth="1"/>
    <col min="6" max="6" width="10.6640625" bestFit="1" customWidth="1"/>
    <col min="7" max="7" width="11" customWidth="1"/>
    <col min="14" max="14" width="16" customWidth="1"/>
    <col min="15" max="15" width="11.6640625" bestFit="1" customWidth="1"/>
    <col min="16" max="16" width="12.33203125" customWidth="1"/>
    <col min="17" max="17" width="10.6640625" bestFit="1" customWidth="1"/>
    <col min="18" max="18" width="11.6640625" customWidth="1"/>
    <col min="20" max="20" width="13" bestFit="1" customWidth="1"/>
    <col min="29" max="29" width="12.6640625" bestFit="1" customWidth="1"/>
    <col min="42" max="42" width="22.33203125" customWidth="1"/>
    <col min="43" max="43" width="11.6640625" bestFit="1" customWidth="1"/>
    <col min="45" max="45" width="12.109375" bestFit="1" customWidth="1"/>
  </cols>
  <sheetData>
    <row r="1" spans="1:48" x14ac:dyDescent="0.3">
      <c r="A1" s="491" t="s">
        <v>296</v>
      </c>
      <c r="B1" s="492" t="s">
        <v>1</v>
      </c>
      <c r="C1" s="508" t="s">
        <v>2</v>
      </c>
    </row>
    <row r="2" spans="1:48" x14ac:dyDescent="0.3">
      <c r="A2" s="493" t="s">
        <v>5</v>
      </c>
      <c r="B2" s="488">
        <v>19</v>
      </c>
      <c r="C2" s="509">
        <v>22</v>
      </c>
      <c r="F2" s="385" t="s">
        <v>26</v>
      </c>
      <c r="G2" s="386" t="s">
        <v>27</v>
      </c>
      <c r="H2" s="387" t="s">
        <v>5</v>
      </c>
      <c r="I2" s="387" t="s">
        <v>7</v>
      </c>
      <c r="J2" s="387" t="s">
        <v>9</v>
      </c>
      <c r="K2" s="387" t="s">
        <v>11</v>
      </c>
      <c r="L2" s="387" t="s">
        <v>13</v>
      </c>
      <c r="M2" s="387" t="s">
        <v>15</v>
      </c>
      <c r="N2" s="387" t="s">
        <v>17</v>
      </c>
      <c r="O2" s="387" t="s">
        <v>19</v>
      </c>
      <c r="P2" s="387" t="s">
        <v>21</v>
      </c>
      <c r="Q2" s="387" t="s">
        <v>23</v>
      </c>
      <c r="R2" s="388" t="s">
        <v>28</v>
      </c>
      <c r="T2" s="400" t="s">
        <v>226</v>
      </c>
      <c r="U2" s="401" t="s">
        <v>227</v>
      </c>
      <c r="V2" s="420" t="s">
        <v>297</v>
      </c>
    </row>
    <row r="3" spans="1:48" x14ac:dyDescent="0.3">
      <c r="A3" s="493" t="s">
        <v>7</v>
      </c>
      <c r="B3" s="488">
        <v>16</v>
      </c>
      <c r="C3" s="509">
        <v>27</v>
      </c>
      <c r="F3" s="390" t="s">
        <v>32</v>
      </c>
      <c r="G3" s="391"/>
      <c r="H3" s="392">
        <v>22</v>
      </c>
      <c r="I3" s="392">
        <v>27</v>
      </c>
      <c r="J3" s="392">
        <v>23</v>
      </c>
      <c r="K3" s="392">
        <v>24</v>
      </c>
      <c r="L3" s="392">
        <v>19</v>
      </c>
      <c r="M3" s="392">
        <v>23</v>
      </c>
      <c r="N3" s="392">
        <v>23</v>
      </c>
      <c r="O3" s="392">
        <v>27</v>
      </c>
      <c r="P3" s="392">
        <v>28</v>
      </c>
      <c r="Q3" s="392">
        <v>32</v>
      </c>
      <c r="R3" s="393">
        <v>26</v>
      </c>
      <c r="T3" s="402" t="s">
        <v>29</v>
      </c>
      <c r="U3" s="403">
        <f>4*B15</f>
        <v>9200</v>
      </c>
    </row>
    <row r="4" spans="1:48" x14ac:dyDescent="0.3">
      <c r="A4" s="493" t="s">
        <v>9</v>
      </c>
      <c r="B4" s="488">
        <v>4</v>
      </c>
      <c r="C4" s="509">
        <v>23</v>
      </c>
      <c r="F4" s="383" t="s">
        <v>35</v>
      </c>
      <c r="G4" s="381">
        <v>22</v>
      </c>
      <c r="H4" s="381">
        <v>27</v>
      </c>
      <c r="I4" s="381">
        <v>23</v>
      </c>
      <c r="J4" s="381">
        <v>24</v>
      </c>
      <c r="K4" s="381">
        <v>19</v>
      </c>
      <c r="L4" s="381">
        <v>23</v>
      </c>
      <c r="M4" s="381">
        <v>23</v>
      </c>
      <c r="N4" s="381">
        <v>27</v>
      </c>
      <c r="O4" s="381">
        <v>28</v>
      </c>
      <c r="P4" s="381">
        <v>32</v>
      </c>
      <c r="Q4" s="381">
        <v>26</v>
      </c>
      <c r="R4" s="389"/>
      <c r="T4" s="404" t="s">
        <v>33</v>
      </c>
      <c r="U4" s="403">
        <f>SUM(H7:R7)*B18</f>
        <v>8453.3624999999993</v>
      </c>
    </row>
    <row r="5" spans="1:48" x14ac:dyDescent="0.3">
      <c r="A5" s="493" t="s">
        <v>11</v>
      </c>
      <c r="B5" s="488">
        <v>8</v>
      </c>
      <c r="C5" s="509">
        <v>24</v>
      </c>
      <c r="F5" s="390" t="s">
        <v>40</v>
      </c>
      <c r="G5" s="391">
        <f>ROUNDUP(SQRT(2*B15*B14/B18),0)</f>
        <v>91</v>
      </c>
      <c r="H5" s="391">
        <v>0</v>
      </c>
      <c r="I5" s="391">
        <v>0</v>
      </c>
      <c r="J5" s="391">
        <v>91</v>
      </c>
      <c r="K5" s="391">
        <v>0</v>
      </c>
      <c r="L5" s="394">
        <v>0</v>
      </c>
      <c r="M5" s="391">
        <v>0</v>
      </c>
      <c r="N5" s="391">
        <v>91</v>
      </c>
      <c r="O5" s="391">
        <v>0</v>
      </c>
      <c r="P5" s="391">
        <v>0</v>
      </c>
      <c r="Q5" s="391">
        <v>91</v>
      </c>
      <c r="R5" s="395"/>
      <c r="T5" s="405" t="s">
        <v>36</v>
      </c>
      <c r="U5" s="406">
        <f>SUM(U3:U4)</f>
        <v>17653.362499999999</v>
      </c>
    </row>
    <row r="6" spans="1:48" x14ac:dyDescent="0.3">
      <c r="A6" s="493" t="s">
        <v>13</v>
      </c>
      <c r="B6" s="488">
        <v>15</v>
      </c>
      <c r="C6" s="509">
        <v>19</v>
      </c>
      <c r="F6" s="383" t="s">
        <v>43</v>
      </c>
      <c r="G6" s="380"/>
      <c r="H6" s="380">
        <v>91</v>
      </c>
      <c r="I6" s="380">
        <v>0</v>
      </c>
      <c r="J6" s="380">
        <v>0</v>
      </c>
      <c r="K6" s="380">
        <v>91</v>
      </c>
      <c r="L6" s="380">
        <v>0</v>
      </c>
      <c r="M6" s="380">
        <v>0</v>
      </c>
      <c r="N6" s="380">
        <v>0</v>
      </c>
      <c r="O6" s="380">
        <v>91</v>
      </c>
      <c r="P6" s="380">
        <v>0</v>
      </c>
      <c r="Q6" s="380">
        <v>0</v>
      </c>
      <c r="R6" s="384">
        <v>91</v>
      </c>
    </row>
    <row r="7" spans="1:48" x14ac:dyDescent="0.3">
      <c r="A7" s="493" t="s">
        <v>15</v>
      </c>
      <c r="B7" s="488">
        <v>23</v>
      </c>
      <c r="C7" s="509">
        <v>23</v>
      </c>
      <c r="F7" s="396" t="s">
        <v>45</v>
      </c>
      <c r="G7" s="397"/>
      <c r="H7" s="398">
        <f>G5-H3</f>
        <v>69</v>
      </c>
      <c r="I7" s="398">
        <f t="shared" ref="I7:R7" si="0">H7+H5-I3</f>
        <v>42</v>
      </c>
      <c r="J7" s="398">
        <f t="shared" si="0"/>
        <v>19</v>
      </c>
      <c r="K7" s="398">
        <f t="shared" si="0"/>
        <v>86</v>
      </c>
      <c r="L7" s="398">
        <f t="shared" si="0"/>
        <v>67</v>
      </c>
      <c r="M7" s="398">
        <f t="shared" si="0"/>
        <v>44</v>
      </c>
      <c r="N7" s="398">
        <f t="shared" si="0"/>
        <v>21</v>
      </c>
      <c r="O7" s="398">
        <f t="shared" si="0"/>
        <v>85</v>
      </c>
      <c r="P7" s="398">
        <f t="shared" si="0"/>
        <v>57</v>
      </c>
      <c r="Q7" s="398">
        <f t="shared" si="0"/>
        <v>25</v>
      </c>
      <c r="R7" s="399">
        <f t="shared" si="0"/>
        <v>90</v>
      </c>
    </row>
    <row r="8" spans="1:48" x14ac:dyDescent="0.3">
      <c r="A8" s="493" t="s">
        <v>17</v>
      </c>
      <c r="B8" s="488">
        <v>18</v>
      </c>
      <c r="C8" s="509">
        <v>23</v>
      </c>
      <c r="Y8" t="s">
        <v>298</v>
      </c>
      <c r="Z8">
        <f>B15</f>
        <v>2300</v>
      </c>
      <c r="AA8" t="s">
        <v>267</v>
      </c>
      <c r="AB8">
        <f>B18</f>
        <v>13.9725</v>
      </c>
      <c r="AN8" t="s">
        <v>203</v>
      </c>
      <c r="AO8">
        <v>2300</v>
      </c>
      <c r="AP8" t="s">
        <v>267</v>
      </c>
      <c r="AQ8">
        <f>B18</f>
        <v>13.9725</v>
      </c>
    </row>
    <row r="9" spans="1:48" x14ac:dyDescent="0.3">
      <c r="A9" s="493" t="s">
        <v>19</v>
      </c>
      <c r="B9" s="488">
        <v>28</v>
      </c>
      <c r="C9" s="509">
        <v>27</v>
      </c>
      <c r="H9">
        <v>1</v>
      </c>
      <c r="I9">
        <v>2</v>
      </c>
      <c r="J9">
        <v>3</v>
      </c>
      <c r="K9">
        <v>4</v>
      </c>
      <c r="L9">
        <v>5</v>
      </c>
      <c r="M9">
        <v>6</v>
      </c>
      <c r="N9">
        <v>7</v>
      </c>
      <c r="O9">
        <v>8</v>
      </c>
      <c r="P9">
        <v>9</v>
      </c>
      <c r="Q9">
        <v>10</v>
      </c>
      <c r="R9">
        <v>11</v>
      </c>
      <c r="T9" s="242"/>
      <c r="X9">
        <v>1</v>
      </c>
      <c r="Y9">
        <v>2</v>
      </c>
      <c r="Z9">
        <v>3</v>
      </c>
      <c r="AA9">
        <v>4</v>
      </c>
      <c r="AB9">
        <v>5</v>
      </c>
      <c r="AC9">
        <v>6</v>
      </c>
      <c r="AD9">
        <v>7</v>
      </c>
      <c r="AE9">
        <v>8</v>
      </c>
      <c r="AF9">
        <v>9</v>
      </c>
      <c r="AG9">
        <v>10</v>
      </c>
      <c r="AH9">
        <v>11</v>
      </c>
      <c r="AL9">
        <v>1</v>
      </c>
      <c r="AM9">
        <v>2</v>
      </c>
      <c r="AN9">
        <v>3</v>
      </c>
      <c r="AO9">
        <v>4</v>
      </c>
      <c r="AP9">
        <v>5</v>
      </c>
      <c r="AQ9">
        <v>6</v>
      </c>
      <c r="AR9">
        <v>7</v>
      </c>
      <c r="AS9">
        <v>8</v>
      </c>
      <c r="AT9">
        <v>9</v>
      </c>
      <c r="AU9">
        <v>10</v>
      </c>
      <c r="AV9">
        <v>11</v>
      </c>
    </row>
    <row r="10" spans="1:48" x14ac:dyDescent="0.3">
      <c r="A10" s="493" t="s">
        <v>21</v>
      </c>
      <c r="B10" s="488">
        <v>16</v>
      </c>
      <c r="C10" s="509">
        <v>28</v>
      </c>
      <c r="F10" s="486" t="s">
        <v>246</v>
      </c>
      <c r="G10" s="487" t="s">
        <v>163</v>
      </c>
      <c r="H10" s="509">
        <v>22</v>
      </c>
      <c r="I10" s="509">
        <v>27</v>
      </c>
      <c r="J10" s="509">
        <v>23</v>
      </c>
      <c r="K10" s="509">
        <v>24</v>
      </c>
      <c r="L10" s="509">
        <v>19</v>
      </c>
      <c r="M10" s="509">
        <v>23</v>
      </c>
      <c r="N10" s="509">
        <v>23</v>
      </c>
      <c r="O10" s="509">
        <v>27</v>
      </c>
      <c r="P10" s="509">
        <v>28</v>
      </c>
      <c r="Q10" s="509">
        <v>32</v>
      </c>
      <c r="R10" s="509">
        <v>26</v>
      </c>
      <c r="V10" s="485" t="s">
        <v>96</v>
      </c>
      <c r="W10" s="497" t="s">
        <v>163</v>
      </c>
      <c r="X10" s="509">
        <v>22</v>
      </c>
      <c r="Y10" s="509">
        <v>27</v>
      </c>
      <c r="Z10" s="509">
        <v>23</v>
      </c>
      <c r="AA10" s="509">
        <v>24</v>
      </c>
      <c r="AB10" s="509">
        <v>19</v>
      </c>
      <c r="AC10" s="509">
        <v>23</v>
      </c>
      <c r="AD10" s="509">
        <v>23</v>
      </c>
      <c r="AE10" s="509">
        <v>27</v>
      </c>
      <c r="AF10" s="509">
        <v>28</v>
      </c>
      <c r="AG10" s="509">
        <v>32</v>
      </c>
      <c r="AH10" s="509">
        <v>26</v>
      </c>
      <c r="AJ10" s="485" t="s">
        <v>164</v>
      </c>
      <c r="AK10" s="507" t="s">
        <v>163</v>
      </c>
      <c r="AL10" s="509">
        <v>22</v>
      </c>
      <c r="AM10" s="509">
        <v>27</v>
      </c>
      <c r="AN10" s="509">
        <v>23</v>
      </c>
      <c r="AO10" s="509">
        <v>24</v>
      </c>
      <c r="AP10" s="509">
        <v>19</v>
      </c>
      <c r="AQ10" s="509">
        <v>23</v>
      </c>
      <c r="AR10" s="509">
        <v>23</v>
      </c>
      <c r="AS10" s="509">
        <v>27</v>
      </c>
      <c r="AT10" s="509">
        <v>28</v>
      </c>
      <c r="AU10" s="509">
        <v>32</v>
      </c>
      <c r="AV10" s="509">
        <v>26</v>
      </c>
    </row>
    <row r="11" spans="1:48" x14ac:dyDescent="0.3">
      <c r="A11" s="493" t="s">
        <v>23</v>
      </c>
      <c r="B11" s="488">
        <v>12</v>
      </c>
      <c r="C11" s="509">
        <v>32</v>
      </c>
      <c r="H11" s="489" t="s">
        <v>165</v>
      </c>
      <c r="I11" s="489"/>
      <c r="J11" s="489"/>
      <c r="K11" s="490"/>
      <c r="W11" s="480" t="s">
        <v>165</v>
      </c>
      <c r="X11" s="480"/>
      <c r="Y11" s="480"/>
      <c r="AK11" s="480" t="s">
        <v>269</v>
      </c>
      <c r="AL11" s="480"/>
      <c r="AM11" s="480"/>
      <c r="AN11" s="480"/>
    </row>
    <row r="12" spans="1:48" x14ac:dyDescent="0.3">
      <c r="A12" s="493" t="s">
        <v>28</v>
      </c>
      <c r="B12" s="488">
        <v>15</v>
      </c>
      <c r="C12" s="509">
        <v>26</v>
      </c>
      <c r="H12" s="480" t="s">
        <v>82</v>
      </c>
      <c r="I12" s="480">
        <f>F13</f>
        <v>2300</v>
      </c>
      <c r="J12" s="480"/>
      <c r="K12" s="480"/>
      <c r="W12" s="480" t="s">
        <v>82</v>
      </c>
      <c r="X12" s="480">
        <f>Z8/X10</f>
        <v>104.54545454545455</v>
      </c>
      <c r="Y12" s="480"/>
      <c r="Z12" s="496" t="s">
        <v>126</v>
      </c>
      <c r="AA12" s="509">
        <v>22</v>
      </c>
      <c r="AC12" s="480" t="s">
        <v>29</v>
      </c>
      <c r="AD12" s="480">
        <f>11*Z8</f>
        <v>25300</v>
      </c>
      <c r="AK12" s="480"/>
      <c r="AL12" s="480"/>
      <c r="AM12" s="480"/>
      <c r="AN12" s="480"/>
    </row>
    <row r="13" spans="1:48" x14ac:dyDescent="0.3">
      <c r="E13" t="s">
        <v>42</v>
      </c>
      <c r="F13">
        <f>B15</f>
        <v>2300</v>
      </c>
      <c r="H13" s="480" t="s">
        <v>200</v>
      </c>
      <c r="I13" s="480">
        <f>(I12+F14*I10)/2</f>
        <v>1338.6287500000001</v>
      </c>
      <c r="J13" s="480"/>
      <c r="K13" s="480"/>
      <c r="M13" s="480" t="s">
        <v>287</v>
      </c>
      <c r="N13" s="480">
        <f>SUM(H10:L10)</f>
        <v>115</v>
      </c>
      <c r="W13" s="480" t="s">
        <v>85</v>
      </c>
      <c r="X13" s="480">
        <f>(Z8+AB8*Y10)/X10+Y10</f>
        <v>148.69352272727275</v>
      </c>
      <c r="Y13" s="480" t="s">
        <v>168</v>
      </c>
      <c r="Z13" s="496" t="s">
        <v>145</v>
      </c>
      <c r="AA13" s="509">
        <v>27</v>
      </c>
      <c r="AC13" s="480" t="s">
        <v>33</v>
      </c>
      <c r="AD13" s="480">
        <v>0</v>
      </c>
      <c r="AK13" s="512" t="s">
        <v>144</v>
      </c>
      <c r="AL13" s="480"/>
      <c r="AM13" s="480"/>
      <c r="AN13" s="480"/>
      <c r="AS13" s="416" t="s">
        <v>226</v>
      </c>
      <c r="AT13" s="417" t="s">
        <v>227</v>
      </c>
    </row>
    <row r="14" spans="1:48" x14ac:dyDescent="0.3">
      <c r="A14" s="495" t="s">
        <v>268</v>
      </c>
      <c r="B14" s="480">
        <f>AVERAGE(C2:C12)</f>
        <v>24.90909090909091</v>
      </c>
      <c r="E14" t="s">
        <v>6</v>
      </c>
      <c r="F14">
        <f>B18</f>
        <v>13.9725</v>
      </c>
      <c r="H14" s="480" t="s">
        <v>86</v>
      </c>
      <c r="I14" s="480">
        <f>(I12+F14*I10+2*F14*J10)/3</f>
        <v>1106.6641666666667</v>
      </c>
      <c r="J14" s="480"/>
      <c r="K14" s="480"/>
      <c r="M14" s="480" t="s">
        <v>299</v>
      </c>
      <c r="N14" s="480">
        <f>SUM(M10:P10)</f>
        <v>101</v>
      </c>
      <c r="W14" s="480"/>
      <c r="X14" s="480"/>
      <c r="Y14" s="480"/>
      <c r="Z14" s="496" t="s">
        <v>170</v>
      </c>
      <c r="AA14" s="509">
        <v>23</v>
      </c>
      <c r="AC14" s="480" t="s">
        <v>36</v>
      </c>
      <c r="AD14" s="480">
        <f>SUM(AD12:AD13)</f>
        <v>25300</v>
      </c>
      <c r="AK14" s="512">
        <v>1</v>
      </c>
      <c r="AL14" s="480">
        <v>0</v>
      </c>
      <c r="AM14" s="480"/>
      <c r="AN14" s="480"/>
      <c r="AO14" s="480" t="s">
        <v>273</v>
      </c>
      <c r="AP14" s="511">
        <f>SUM(AL10:AO10)</f>
        <v>96</v>
      </c>
      <c r="AS14" s="415" t="s">
        <v>29</v>
      </c>
      <c r="AT14" s="403">
        <f>3*AO8</f>
        <v>6900</v>
      </c>
    </row>
    <row r="15" spans="1:48" x14ac:dyDescent="0.3">
      <c r="A15" s="495" t="s">
        <v>42</v>
      </c>
      <c r="B15" s="510">
        <v>2300</v>
      </c>
      <c r="H15" s="480" t="s">
        <v>87</v>
      </c>
      <c r="I15" s="480">
        <f>(I12+F14*I10+2*F14*J10+3*F14*K10)/4</f>
        <v>1081.5031250000002</v>
      </c>
      <c r="J15" s="480"/>
      <c r="K15" s="480"/>
      <c r="M15" s="480" t="s">
        <v>300</v>
      </c>
      <c r="N15" s="480">
        <f>SUM(Q10:R10)</f>
        <v>58</v>
      </c>
      <c r="W15" s="480"/>
      <c r="X15" s="480"/>
      <c r="Y15" s="480"/>
      <c r="Z15" s="496" t="s">
        <v>173</v>
      </c>
      <c r="AA15" s="509">
        <v>24</v>
      </c>
      <c r="AD15" s="14"/>
      <c r="AK15" s="512">
        <v>2</v>
      </c>
      <c r="AL15" s="480">
        <f>AQ8*AM10</f>
        <v>377.25749999999999</v>
      </c>
      <c r="AM15" s="480"/>
      <c r="AN15" s="480"/>
      <c r="AO15" s="480" t="s">
        <v>301</v>
      </c>
      <c r="AP15" s="511">
        <f>SUM(AP10:AS10)</f>
        <v>92</v>
      </c>
      <c r="AS15" s="415" t="s">
        <v>219</v>
      </c>
      <c r="AT15" s="403">
        <f>SUM(AQ19:AQ29)*AQ8</f>
        <v>5295.5775000000003</v>
      </c>
    </row>
    <row r="16" spans="1:48" x14ac:dyDescent="0.3">
      <c r="A16" s="495" t="s">
        <v>143</v>
      </c>
      <c r="B16" s="510">
        <v>0.46</v>
      </c>
      <c r="H16" s="480" t="s">
        <v>90</v>
      </c>
      <c r="I16" s="480">
        <f>(I12+F14*I10+2*F14*J10+3*F14*K10+4*F14*L10)/5</f>
        <v>1077.5845000000002</v>
      </c>
      <c r="J16" s="480"/>
      <c r="K16" s="480"/>
      <c r="M16" s="480"/>
      <c r="N16" s="480"/>
      <c r="W16" s="480" t="s">
        <v>172</v>
      </c>
      <c r="X16" s="480"/>
      <c r="Y16" s="480"/>
      <c r="Z16" s="496" t="s">
        <v>174</v>
      </c>
      <c r="AA16" s="509">
        <v>19</v>
      </c>
      <c r="AK16" s="512">
        <v>3</v>
      </c>
      <c r="AL16" s="480">
        <f>AL15+2*AQ8*AN10</f>
        <v>1019.9925000000001</v>
      </c>
      <c r="AM16" s="480"/>
      <c r="AN16" s="480"/>
      <c r="AO16" s="480" t="s">
        <v>302</v>
      </c>
      <c r="AP16" s="511">
        <f>SUM(AT10:AV10)</f>
        <v>86</v>
      </c>
      <c r="AS16" s="418" t="s">
        <v>36</v>
      </c>
      <c r="AT16" s="406">
        <f>SUM(AT14:AT15)</f>
        <v>12195.577499999999</v>
      </c>
    </row>
    <row r="17" spans="1:43" x14ac:dyDescent="0.3">
      <c r="A17" s="495" t="s">
        <v>70</v>
      </c>
      <c r="B17" s="510">
        <v>30.375</v>
      </c>
      <c r="H17" s="480" t="s">
        <v>91</v>
      </c>
      <c r="I17" s="480">
        <f>(I12+F14*I10+2*F14*J10+3*F14*K10+4*F14*L10+5*F14*M10)/6</f>
        <v>1165.7933333333333</v>
      </c>
      <c r="J17" s="480" t="s">
        <v>261</v>
      </c>
      <c r="K17" s="480"/>
      <c r="M17" s="480" t="s">
        <v>29</v>
      </c>
      <c r="N17" s="480">
        <f>3*F13</f>
        <v>6900</v>
      </c>
      <c r="W17" s="480" t="s">
        <v>82</v>
      </c>
      <c r="X17" s="480">
        <f>Z8/Y10</f>
        <v>85.18518518518519</v>
      </c>
      <c r="Y17" s="480"/>
      <c r="Z17" s="496" t="s">
        <v>153</v>
      </c>
      <c r="AA17" s="509">
        <v>23</v>
      </c>
      <c r="AC17" s="416" t="s">
        <v>226</v>
      </c>
      <c r="AD17" s="417" t="s">
        <v>227</v>
      </c>
      <c r="AK17" s="512">
        <v>4</v>
      </c>
      <c r="AL17" s="480">
        <f>AL15+AL16+3*AQ8*AO10</f>
        <v>2403.27</v>
      </c>
      <c r="AM17" s="480" t="s">
        <v>303</v>
      </c>
      <c r="AN17" s="480"/>
    </row>
    <row r="18" spans="1:43" x14ac:dyDescent="0.3">
      <c r="A18" s="495" t="s">
        <v>6</v>
      </c>
      <c r="B18" s="480">
        <f>B16*B17</f>
        <v>13.9725</v>
      </c>
      <c r="H18" s="480"/>
      <c r="I18" s="480"/>
      <c r="J18" s="480"/>
      <c r="K18" s="480"/>
      <c r="M18" s="480" t="s">
        <v>33</v>
      </c>
      <c r="N18" s="480">
        <f>SUM(O23:O33)*F14</f>
        <v>5700.78</v>
      </c>
      <c r="W18" s="480" t="s">
        <v>85</v>
      </c>
      <c r="X18" s="480">
        <f>(Z8+AB8*Z10)/Y10+Z10</f>
        <v>120.08768518518518</v>
      </c>
      <c r="Y18" s="480" t="s">
        <v>168</v>
      </c>
      <c r="Z18" s="496" t="s">
        <v>151</v>
      </c>
      <c r="AA18" s="509">
        <v>23</v>
      </c>
      <c r="AC18" s="415" t="s">
        <v>29</v>
      </c>
      <c r="AD18" s="403">
        <f>11*Z8</f>
        <v>25300</v>
      </c>
      <c r="AK18" s="512">
        <v>5</v>
      </c>
      <c r="AL18" s="480">
        <f>AL15+AL16+AL17+4*AQ8*AP10</f>
        <v>4862.43</v>
      </c>
      <c r="AM18" s="480"/>
      <c r="AN18" s="480"/>
      <c r="AO18" s="416" t="s">
        <v>304</v>
      </c>
      <c r="AP18" s="443" t="s">
        <v>305</v>
      </c>
      <c r="AQ18" s="417" t="s">
        <v>81</v>
      </c>
    </row>
    <row r="19" spans="1:43" x14ac:dyDescent="0.3">
      <c r="H19" s="480" t="s">
        <v>185</v>
      </c>
      <c r="I19" s="480"/>
      <c r="J19" s="480"/>
      <c r="K19" s="480"/>
      <c r="M19" s="480" t="s">
        <v>36</v>
      </c>
      <c r="N19" s="480">
        <f>SUM(N17:N18)</f>
        <v>12600.779999999999</v>
      </c>
      <c r="W19" s="480" t="s">
        <v>176</v>
      </c>
      <c r="X19" s="480"/>
      <c r="Y19" s="480"/>
      <c r="Z19" s="496" t="s">
        <v>156</v>
      </c>
      <c r="AA19" s="509">
        <v>27</v>
      </c>
      <c r="AC19" s="415" t="s">
        <v>33</v>
      </c>
      <c r="AD19" s="403">
        <v>0</v>
      </c>
      <c r="AK19" s="512"/>
      <c r="AL19" s="480"/>
      <c r="AM19" s="480"/>
      <c r="AN19" s="480"/>
      <c r="AO19" s="415">
        <v>1</v>
      </c>
      <c r="AP19" s="115">
        <v>96</v>
      </c>
      <c r="AQ19" s="442">
        <f>AP19-AL10</f>
        <v>74</v>
      </c>
    </row>
    <row r="20" spans="1:43" x14ac:dyDescent="0.3">
      <c r="H20" s="480" t="s">
        <v>82</v>
      </c>
      <c r="I20" s="480">
        <f>F13</f>
        <v>2300</v>
      </c>
      <c r="J20" s="480"/>
      <c r="K20" s="480"/>
      <c r="W20" s="480" t="s">
        <v>82</v>
      </c>
      <c r="X20" s="480">
        <f>Z8/Z10</f>
        <v>100</v>
      </c>
      <c r="Y20" s="480"/>
      <c r="Z20" s="496" t="s">
        <v>178</v>
      </c>
      <c r="AA20" s="509">
        <v>28</v>
      </c>
      <c r="AC20" s="418" t="s">
        <v>36</v>
      </c>
      <c r="AD20" s="406">
        <f>SUM(AD18:AD19)</f>
        <v>25300</v>
      </c>
      <c r="AK20" s="512" t="s">
        <v>281</v>
      </c>
      <c r="AL20" s="480"/>
      <c r="AM20" s="480"/>
      <c r="AN20" s="480"/>
      <c r="AO20" s="415">
        <v>2</v>
      </c>
      <c r="AP20" s="115"/>
      <c r="AQ20" s="442">
        <f>AQ19-AM10</f>
        <v>47</v>
      </c>
    </row>
    <row r="21" spans="1:43" x14ac:dyDescent="0.3">
      <c r="D21" s="416" t="s">
        <v>226</v>
      </c>
      <c r="E21" s="417" t="s">
        <v>227</v>
      </c>
      <c r="H21" s="480" t="s">
        <v>85</v>
      </c>
      <c r="I21" s="480">
        <f>(I20+F14*N10)/2</f>
        <v>1310.6837499999999</v>
      </c>
      <c r="J21" s="480"/>
      <c r="K21" s="480"/>
      <c r="P21" s="403"/>
      <c r="Q21" s="115"/>
      <c r="W21" s="480" t="s">
        <v>85</v>
      </c>
      <c r="X21" s="480">
        <f>(Z8+AB8*AA10)/Z10+AA10</f>
        <v>138.58000000000001</v>
      </c>
      <c r="Y21" s="480" t="s">
        <v>168</v>
      </c>
      <c r="Z21" s="496" t="s">
        <v>179</v>
      </c>
      <c r="AA21" s="509">
        <v>32</v>
      </c>
      <c r="AK21" s="512">
        <v>1</v>
      </c>
      <c r="AL21" s="480">
        <v>0</v>
      </c>
      <c r="AM21" s="480"/>
      <c r="AN21" s="480"/>
      <c r="AO21" s="415">
        <v>3</v>
      </c>
      <c r="AP21" s="115"/>
      <c r="AQ21" s="442">
        <f>AQ20-AN10</f>
        <v>24</v>
      </c>
    </row>
    <row r="22" spans="1:43" x14ac:dyDescent="0.3">
      <c r="B22" s="382"/>
      <c r="C22" s="382"/>
      <c r="D22" s="415" t="s">
        <v>29</v>
      </c>
      <c r="E22" s="403">
        <f>3*F13</f>
        <v>6900</v>
      </c>
      <c r="H22" s="480" t="s">
        <v>86</v>
      </c>
      <c r="I22" s="480">
        <f>(I20+F14*N10+2*F14*O10)/3</f>
        <v>1125.2941666666666</v>
      </c>
      <c r="J22" s="480"/>
      <c r="K22" s="480"/>
      <c r="M22" s="408" t="s">
        <v>232</v>
      </c>
      <c r="N22" s="410" t="s">
        <v>234</v>
      </c>
      <c r="O22" s="411" t="s">
        <v>128</v>
      </c>
      <c r="W22" s="480" t="s">
        <v>181</v>
      </c>
      <c r="X22" s="480"/>
      <c r="Y22" s="480"/>
      <c r="Z22" s="496" t="s">
        <v>180</v>
      </c>
      <c r="AA22" s="509">
        <v>26</v>
      </c>
      <c r="AK22" s="512">
        <v>2</v>
      </c>
      <c r="AL22" s="480">
        <f>AQ8*AQ10</f>
        <v>321.36750000000001</v>
      </c>
      <c r="AM22" s="480"/>
      <c r="AN22" s="480"/>
      <c r="AO22" s="415">
        <v>4</v>
      </c>
      <c r="AP22" s="115"/>
      <c r="AQ22" s="442">
        <f>AQ21-AO10</f>
        <v>0</v>
      </c>
    </row>
    <row r="23" spans="1:43" x14ac:dyDescent="0.3">
      <c r="B23" s="382"/>
      <c r="C23" s="136"/>
      <c r="D23" s="415" t="s">
        <v>33</v>
      </c>
      <c r="E23" s="403">
        <f>SUM(Tablo15[inventory])*F14</f>
        <v>5700.78</v>
      </c>
      <c r="H23" s="480" t="s">
        <v>87</v>
      </c>
      <c r="I23" s="480">
        <f>(I20+F14*N10+2*F14*O10+3*F14*P10)/4</f>
        <v>1137.3931250000001</v>
      </c>
      <c r="J23" s="480"/>
      <c r="K23" s="480"/>
      <c r="M23" s="407" t="s">
        <v>5</v>
      </c>
      <c r="N23" s="109">
        <v>115</v>
      </c>
      <c r="O23" s="409">
        <f>N23-H10</f>
        <v>93</v>
      </c>
      <c r="W23" s="480" t="s">
        <v>82</v>
      </c>
      <c r="X23" s="480">
        <f>Z8/AA10</f>
        <v>95.833333333333329</v>
      </c>
      <c r="Y23" s="480"/>
      <c r="AK23" s="512">
        <v>3</v>
      </c>
      <c r="AL23" s="480">
        <f>AL22+2*AQ8*AR10</f>
        <v>964.10249999999996</v>
      </c>
      <c r="AM23" s="480"/>
      <c r="AN23" s="480"/>
      <c r="AO23" s="415">
        <v>5</v>
      </c>
      <c r="AP23" s="115">
        <v>92</v>
      </c>
      <c r="AQ23" s="442">
        <f>AP23-AP10</f>
        <v>73</v>
      </c>
    </row>
    <row r="24" spans="1:43" x14ac:dyDescent="0.3">
      <c r="B24" s="382"/>
      <c r="C24" s="136"/>
      <c r="D24" s="418" t="s">
        <v>36</v>
      </c>
      <c r="E24" s="406">
        <f>SUM(E22:E23)</f>
        <v>12600.779999999999</v>
      </c>
      <c r="H24" s="480" t="s">
        <v>90</v>
      </c>
      <c r="I24" s="480">
        <f>(I20+F14*N10+2*F14*O10+3*F14*P10+4*F14*Q10)/5</f>
        <v>1267.6105</v>
      </c>
      <c r="J24" s="480" t="s">
        <v>306</v>
      </c>
      <c r="K24" s="480"/>
      <c r="M24" s="407" t="s">
        <v>7</v>
      </c>
      <c r="N24" s="109"/>
      <c r="O24" s="409">
        <f>O23-I10</f>
        <v>66</v>
      </c>
      <c r="W24" s="480" t="s">
        <v>85</v>
      </c>
      <c r="X24" s="480">
        <f>(Z8+AB8*AB10)/AA10+AB10</f>
        <v>125.89489583333334</v>
      </c>
      <c r="Y24" s="480" t="s">
        <v>168</v>
      </c>
      <c r="AK24" s="512">
        <v>4</v>
      </c>
      <c r="AL24" s="480">
        <f>AL22+AL23+3*AQ8*AS10</f>
        <v>2417.2425000000003</v>
      </c>
      <c r="AM24" s="480" t="s">
        <v>303</v>
      </c>
      <c r="AN24" s="480"/>
      <c r="AO24" s="415">
        <v>6</v>
      </c>
      <c r="AP24" s="115"/>
      <c r="AQ24" s="442">
        <f>AQ23-AQ10</f>
        <v>50</v>
      </c>
    </row>
    <row r="25" spans="1:43" x14ac:dyDescent="0.3">
      <c r="B25" s="382"/>
      <c r="C25" s="136"/>
      <c r="H25" s="480"/>
      <c r="I25" s="480"/>
      <c r="J25" s="480"/>
      <c r="K25" s="480"/>
      <c r="M25" s="407" t="s">
        <v>9</v>
      </c>
      <c r="N25" s="109"/>
      <c r="O25" s="409">
        <f>O24-J10</f>
        <v>43</v>
      </c>
      <c r="W25" s="480" t="s">
        <v>183</v>
      </c>
      <c r="X25" s="480"/>
      <c r="Y25" s="480"/>
      <c r="AK25" s="512"/>
      <c r="AL25" s="480"/>
      <c r="AM25" s="480"/>
      <c r="AN25" s="480"/>
      <c r="AO25" s="415">
        <v>7</v>
      </c>
      <c r="AP25" s="115"/>
      <c r="AQ25" s="442">
        <f>AQ24-AR10</f>
        <v>27</v>
      </c>
    </row>
    <row r="26" spans="1:43" x14ac:dyDescent="0.3">
      <c r="B26" s="382"/>
      <c r="C26" s="136"/>
      <c r="H26" s="480" t="s">
        <v>196</v>
      </c>
      <c r="I26" s="480"/>
      <c r="J26" s="480"/>
      <c r="K26" s="480"/>
      <c r="M26" s="407" t="s">
        <v>11</v>
      </c>
      <c r="N26" s="109"/>
      <c r="O26" s="409">
        <f>O25-K10</f>
        <v>19</v>
      </c>
      <c r="W26" s="480" t="s">
        <v>82</v>
      </c>
      <c r="X26" s="480">
        <f>Z8/AB10</f>
        <v>121.05263157894737</v>
      </c>
      <c r="Y26" s="480"/>
      <c r="AK26" s="480"/>
      <c r="AL26" s="480"/>
      <c r="AM26" s="480"/>
      <c r="AN26" s="480"/>
      <c r="AO26" s="415">
        <v>8</v>
      </c>
      <c r="AP26" s="115"/>
      <c r="AQ26" s="442">
        <f>AQ25-AS10</f>
        <v>0</v>
      </c>
    </row>
    <row r="27" spans="1:43" x14ac:dyDescent="0.3">
      <c r="B27" s="382"/>
      <c r="C27" s="136"/>
      <c r="H27" s="480" t="s">
        <v>82</v>
      </c>
      <c r="I27" s="480">
        <f>F13</f>
        <v>2300</v>
      </c>
      <c r="J27" s="480"/>
      <c r="K27" s="480"/>
      <c r="M27" s="407" t="s">
        <v>13</v>
      </c>
      <c r="N27" s="109"/>
      <c r="O27" s="409">
        <f>O26-L10</f>
        <v>0</v>
      </c>
      <c r="W27" s="480" t="s">
        <v>85</v>
      </c>
      <c r="X27" s="480">
        <f>(Z8+AB8*AC10)/AB10+AC10</f>
        <v>160.96671052631578</v>
      </c>
      <c r="Y27" s="480" t="s">
        <v>168</v>
      </c>
      <c r="AB27" s="242"/>
      <c r="AC27" s="110"/>
      <c r="AD27" s="110"/>
      <c r="AK27" s="512">
        <v>1</v>
      </c>
      <c r="AL27" s="480">
        <v>0</v>
      </c>
      <c r="AM27" s="480"/>
      <c r="AN27" s="480"/>
      <c r="AO27" s="415">
        <v>9</v>
      </c>
      <c r="AP27" s="115">
        <v>86</v>
      </c>
      <c r="AQ27" s="442">
        <f>AP27-AT10</f>
        <v>58</v>
      </c>
    </row>
    <row r="28" spans="1:43" x14ac:dyDescent="0.3">
      <c r="B28" s="382"/>
      <c r="C28" s="136"/>
      <c r="H28" s="480" t="s">
        <v>200</v>
      </c>
      <c r="I28" s="480">
        <f>(I27+F14*R10)/2</f>
        <v>1331.6424999999999</v>
      </c>
      <c r="J28" s="480" t="s">
        <v>283</v>
      </c>
      <c r="K28" s="480"/>
      <c r="M28" s="407" t="s">
        <v>15</v>
      </c>
      <c r="N28" s="109">
        <v>101</v>
      </c>
      <c r="O28" s="409">
        <f>N28-M10</f>
        <v>78</v>
      </c>
      <c r="W28" s="480" t="s">
        <v>185</v>
      </c>
      <c r="X28" s="480"/>
      <c r="Y28" s="480"/>
      <c r="AB28" s="111"/>
      <c r="AC28" s="14"/>
      <c r="AD28" s="14"/>
      <c r="AK28" s="512">
        <v>2</v>
      </c>
      <c r="AL28" s="480">
        <f>AQ8*AT10</f>
        <v>391.23</v>
      </c>
      <c r="AM28" s="480"/>
      <c r="AN28" s="480"/>
      <c r="AO28" s="415">
        <v>10</v>
      </c>
      <c r="AP28" s="115"/>
      <c r="AQ28" s="442">
        <f>AQ27-AU10</f>
        <v>26</v>
      </c>
    </row>
    <row r="29" spans="1:43" x14ac:dyDescent="0.3">
      <c r="B29" s="382"/>
      <c r="C29" s="136"/>
      <c r="H29" s="480"/>
      <c r="I29" s="480"/>
      <c r="J29" s="480"/>
      <c r="K29" s="480"/>
      <c r="M29" s="407" t="s">
        <v>17</v>
      </c>
      <c r="N29" s="109"/>
      <c r="O29" s="409">
        <f>O28-N10</f>
        <v>55</v>
      </c>
      <c r="W29" s="480" t="s">
        <v>82</v>
      </c>
      <c r="X29" s="480">
        <f>Z8/AC10</f>
        <v>100</v>
      </c>
      <c r="Y29" s="480"/>
      <c r="AB29" s="111"/>
      <c r="AD29" s="14"/>
      <c r="AK29" s="512">
        <v>3</v>
      </c>
      <c r="AL29" s="480">
        <f>AL28+2*AQ8*AU10</f>
        <v>1285.47</v>
      </c>
      <c r="AM29" s="480"/>
      <c r="AN29" s="480"/>
      <c r="AO29" s="418">
        <v>11</v>
      </c>
      <c r="AP29" s="349"/>
      <c r="AQ29" s="444">
        <f>AQ28-AV10</f>
        <v>0</v>
      </c>
    </row>
    <row r="30" spans="1:43" x14ac:dyDescent="0.3">
      <c r="B30" s="382"/>
      <c r="C30" s="136"/>
      <c r="H30" s="480"/>
      <c r="I30" s="480"/>
      <c r="J30" s="480"/>
      <c r="K30" s="480"/>
      <c r="M30" s="407" t="s">
        <v>19</v>
      </c>
      <c r="N30" s="109"/>
      <c r="O30" s="409">
        <f>O29-O10</f>
        <v>28</v>
      </c>
      <c r="W30" s="480" t="s">
        <v>85</v>
      </c>
      <c r="X30" s="480">
        <f>(Z8+AB8*AD10)/AC10+AD10</f>
        <v>136.9725</v>
      </c>
      <c r="Y30" s="480" t="s">
        <v>168</v>
      </c>
      <c r="AB30" s="111"/>
      <c r="AD30" s="14"/>
      <c r="AK30" s="512">
        <v>4</v>
      </c>
      <c r="AL30" s="480">
        <f>AL28+AL29+3*AQ8*AV10</f>
        <v>2766.5550000000003</v>
      </c>
      <c r="AM30" s="480" t="s">
        <v>303</v>
      </c>
      <c r="AN30" s="480"/>
    </row>
    <row r="31" spans="1:43" x14ac:dyDescent="0.3">
      <c r="B31" s="382"/>
      <c r="C31" s="136"/>
      <c r="H31" s="480"/>
      <c r="I31" s="480"/>
      <c r="J31" s="480"/>
      <c r="K31" s="480"/>
      <c r="M31" s="407" t="s">
        <v>21</v>
      </c>
      <c r="N31" s="109"/>
      <c r="O31" s="409">
        <f>O30-P10</f>
        <v>0</v>
      </c>
      <c r="W31" s="480" t="s">
        <v>188</v>
      </c>
      <c r="X31" s="480"/>
      <c r="Y31" s="480"/>
      <c r="AB31" s="111"/>
      <c r="AD31" s="14"/>
      <c r="AK31" s="480"/>
      <c r="AL31" s="480"/>
      <c r="AM31" s="480"/>
      <c r="AN31" s="480"/>
    </row>
    <row r="32" spans="1:43" x14ac:dyDescent="0.3">
      <c r="B32" s="382"/>
      <c r="C32" s="136"/>
      <c r="H32" s="480"/>
      <c r="I32" s="480"/>
      <c r="J32" s="480"/>
      <c r="K32" s="480"/>
      <c r="M32" s="407" t="s">
        <v>23</v>
      </c>
      <c r="N32" s="109">
        <v>58</v>
      </c>
      <c r="O32" s="409">
        <f>N32-Q10</f>
        <v>26</v>
      </c>
      <c r="W32" s="480" t="s">
        <v>82</v>
      </c>
      <c r="X32" s="480">
        <f>Z8/AD10</f>
        <v>100</v>
      </c>
      <c r="Y32" s="480"/>
      <c r="AB32" s="111"/>
      <c r="AD32" s="14"/>
      <c r="AK32" s="480"/>
      <c r="AL32" s="480"/>
      <c r="AM32" s="480"/>
      <c r="AN32" s="480"/>
    </row>
    <row r="33" spans="2:40" x14ac:dyDescent="0.3">
      <c r="B33" s="382"/>
      <c r="C33" s="136"/>
      <c r="H33" s="480"/>
      <c r="I33" s="480"/>
      <c r="J33" s="480"/>
      <c r="K33" s="480"/>
      <c r="M33" s="412" t="s">
        <v>28</v>
      </c>
      <c r="N33" s="413"/>
      <c r="O33" s="414">
        <f>O32-R10</f>
        <v>0</v>
      </c>
      <c r="W33" s="480" t="s">
        <v>85</v>
      </c>
      <c r="X33" s="480">
        <f>(Z8+AB8*AE10)/AD10+AE10</f>
        <v>143.4025</v>
      </c>
      <c r="Y33" s="480" t="s">
        <v>168</v>
      </c>
      <c r="AB33" s="111"/>
      <c r="AD33" s="14"/>
      <c r="AK33" s="480"/>
      <c r="AL33" s="480"/>
      <c r="AM33" s="480"/>
      <c r="AN33" s="480"/>
    </row>
    <row r="34" spans="2:40" x14ac:dyDescent="0.3">
      <c r="H34" s="480"/>
      <c r="I34" s="480"/>
      <c r="J34" s="480"/>
      <c r="K34" s="480"/>
      <c r="W34" s="480" t="s">
        <v>190</v>
      </c>
      <c r="X34" s="480"/>
      <c r="Y34" s="480"/>
      <c r="AB34" s="111"/>
      <c r="AD34" s="14"/>
    </row>
    <row r="35" spans="2:40" x14ac:dyDescent="0.3">
      <c r="W35" s="480" t="s">
        <v>82</v>
      </c>
      <c r="X35" s="480">
        <f>Z8/AE10</f>
        <v>85.18518518518519</v>
      </c>
      <c r="Y35" s="480"/>
    </row>
    <row r="36" spans="2:40" x14ac:dyDescent="0.3">
      <c r="W36" s="480" t="s">
        <v>85</v>
      </c>
      <c r="X36" s="480">
        <f>(Z8+AB8*AF10)/AE10+AF10</f>
        <v>127.67518518518519</v>
      </c>
      <c r="Y36" s="480" t="s">
        <v>168</v>
      </c>
    </row>
    <row r="37" spans="2:40" x14ac:dyDescent="0.3">
      <c r="W37" s="480" t="s">
        <v>193</v>
      </c>
      <c r="X37" s="480"/>
      <c r="Y37" s="480"/>
    </row>
    <row r="38" spans="2:40" x14ac:dyDescent="0.3">
      <c r="W38" s="480" t="s">
        <v>82</v>
      </c>
      <c r="X38" s="480">
        <f>Z8/AF10</f>
        <v>82.142857142857139</v>
      </c>
      <c r="Y38" s="480"/>
    </row>
    <row r="39" spans="2:40" x14ac:dyDescent="0.3">
      <c r="W39" s="480" t="s">
        <v>85</v>
      </c>
      <c r="X39" s="480">
        <f>(Z8+AB8*AG10)/AG10+AF10</f>
        <v>113.8475</v>
      </c>
      <c r="Y39" s="480" t="s">
        <v>168</v>
      </c>
    </row>
    <row r="40" spans="2:40" x14ac:dyDescent="0.3">
      <c r="W40" s="480" t="s">
        <v>196</v>
      </c>
      <c r="X40" s="480"/>
      <c r="Y40" s="480"/>
    </row>
    <row r="41" spans="2:40" x14ac:dyDescent="0.3">
      <c r="W41" s="480" t="s">
        <v>82</v>
      </c>
      <c r="X41" s="480">
        <f>Z8/AG10</f>
        <v>71.875</v>
      </c>
      <c r="Y41" s="480"/>
    </row>
    <row r="42" spans="2:40" x14ac:dyDescent="0.3">
      <c r="W42" s="480" t="s">
        <v>85</v>
      </c>
      <c r="X42" s="480">
        <f>(Z8+AB8*AH10)/AG10+AH10</f>
        <v>109.22765625</v>
      </c>
      <c r="Y42" s="480" t="s">
        <v>168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AF11F-A11B-0242-8DA5-D3F5B1972810}">
  <dimension ref="A1:AW42"/>
  <sheetViews>
    <sheetView topLeftCell="F26" zoomScale="59" workbookViewId="0">
      <selection activeCell="F26" sqref="F26"/>
    </sheetView>
  </sheetViews>
  <sheetFormatPr defaultColWidth="11.44140625" defaultRowHeight="14.4" x14ac:dyDescent="0.3"/>
  <cols>
    <col min="6" max="6" width="19.77734375" bestFit="1" customWidth="1"/>
    <col min="7" max="7" width="12.6640625" bestFit="1" customWidth="1"/>
    <col min="16" max="16" width="13.33203125" bestFit="1" customWidth="1"/>
    <col min="18" max="18" width="12.44140625" bestFit="1" customWidth="1"/>
  </cols>
  <sheetData>
    <row r="1" spans="1:49" x14ac:dyDescent="0.3">
      <c r="A1" s="513" t="s">
        <v>307</v>
      </c>
      <c r="B1" s="492" t="s">
        <v>1</v>
      </c>
      <c r="C1" s="508" t="s">
        <v>2</v>
      </c>
    </row>
    <row r="2" spans="1:49" x14ac:dyDescent="0.3">
      <c r="A2" s="514" t="s">
        <v>5</v>
      </c>
      <c r="B2" s="488">
        <v>7</v>
      </c>
      <c r="C2" s="509">
        <v>17</v>
      </c>
      <c r="F2" s="437" t="s">
        <v>26</v>
      </c>
      <c r="G2" s="447" t="s">
        <v>27</v>
      </c>
      <c r="H2" s="438" t="s">
        <v>5</v>
      </c>
      <c r="I2" s="438" t="s">
        <v>7</v>
      </c>
      <c r="J2" s="438" t="s">
        <v>9</v>
      </c>
      <c r="K2" s="438" t="s">
        <v>11</v>
      </c>
      <c r="L2" s="438" t="s">
        <v>13</v>
      </c>
      <c r="M2" s="438" t="s">
        <v>15</v>
      </c>
      <c r="N2" s="438" t="s">
        <v>17</v>
      </c>
      <c r="O2" s="438" t="s">
        <v>19</v>
      </c>
      <c r="P2" s="438" t="s">
        <v>21</v>
      </c>
      <c r="Q2" s="438" t="s">
        <v>23</v>
      </c>
      <c r="R2" s="439" t="s">
        <v>28</v>
      </c>
    </row>
    <row r="3" spans="1:49" x14ac:dyDescent="0.3">
      <c r="A3" s="514" t="s">
        <v>7</v>
      </c>
      <c r="B3" s="488">
        <v>12</v>
      </c>
      <c r="C3" s="509">
        <v>14</v>
      </c>
      <c r="F3" s="440" t="s">
        <v>32</v>
      </c>
      <c r="G3" s="109"/>
      <c r="H3" s="525">
        <v>17</v>
      </c>
      <c r="I3" s="525">
        <v>14</v>
      </c>
      <c r="J3" s="525">
        <v>14</v>
      </c>
      <c r="K3" s="525">
        <v>11</v>
      </c>
      <c r="L3" s="525">
        <v>10</v>
      </c>
      <c r="M3" s="525">
        <v>10</v>
      </c>
      <c r="N3" s="525">
        <v>8</v>
      </c>
      <c r="O3" s="525">
        <v>12</v>
      </c>
      <c r="P3" s="525">
        <v>11</v>
      </c>
      <c r="Q3" s="525">
        <v>12</v>
      </c>
      <c r="R3" s="527">
        <v>13</v>
      </c>
      <c r="T3" s="479" t="s">
        <v>29</v>
      </c>
      <c r="U3" s="480">
        <f>3*C15</f>
        <v>6900</v>
      </c>
    </row>
    <row r="4" spans="1:49" x14ac:dyDescent="0.3">
      <c r="A4" s="514" t="s">
        <v>9</v>
      </c>
      <c r="B4" s="488">
        <v>4</v>
      </c>
      <c r="C4" s="509">
        <v>14</v>
      </c>
      <c r="F4" s="440" t="s">
        <v>35</v>
      </c>
      <c r="G4" s="525">
        <v>17</v>
      </c>
      <c r="H4" s="525">
        <v>14</v>
      </c>
      <c r="I4" s="525">
        <v>14</v>
      </c>
      <c r="J4" s="525">
        <v>11</v>
      </c>
      <c r="K4" s="525">
        <v>10</v>
      </c>
      <c r="L4" s="525">
        <v>10</v>
      </c>
      <c r="M4" s="525">
        <v>8</v>
      </c>
      <c r="N4" s="525">
        <v>12</v>
      </c>
      <c r="O4" s="525">
        <v>11</v>
      </c>
      <c r="P4" s="525">
        <v>12</v>
      </c>
      <c r="Q4" s="526">
        <v>13</v>
      </c>
      <c r="R4" s="528"/>
      <c r="T4" s="523" t="s">
        <v>33</v>
      </c>
      <c r="U4" s="480">
        <f>SUM(H7:R7)*C18</f>
        <v>5141.88</v>
      </c>
    </row>
    <row r="5" spans="1:49" x14ac:dyDescent="0.3">
      <c r="A5" s="514" t="s">
        <v>11</v>
      </c>
      <c r="B5" s="488">
        <v>8</v>
      </c>
      <c r="C5" s="509">
        <v>11</v>
      </c>
      <c r="F5" s="440" t="s">
        <v>40</v>
      </c>
      <c r="G5" s="109">
        <f>ROUNDUP(SQRT(2*C14*C15/C18),0)</f>
        <v>63</v>
      </c>
      <c r="H5" s="109">
        <v>0</v>
      </c>
      <c r="I5" s="109">
        <v>0</v>
      </c>
      <c r="J5" s="109">
        <v>0</v>
      </c>
      <c r="K5" s="109">
        <v>63</v>
      </c>
      <c r="L5" s="109">
        <v>0</v>
      </c>
      <c r="M5" s="109">
        <v>0</v>
      </c>
      <c r="N5" s="109">
        <v>0</v>
      </c>
      <c r="O5" s="109">
        <v>0</v>
      </c>
      <c r="P5" s="109">
        <v>0</v>
      </c>
      <c r="Q5" s="109">
        <v>63</v>
      </c>
      <c r="R5" s="409"/>
      <c r="T5" s="523" t="s">
        <v>36</v>
      </c>
      <c r="U5" s="480">
        <f>SUM(U3:U4)</f>
        <v>12041.880000000001</v>
      </c>
    </row>
    <row r="6" spans="1:49" x14ac:dyDescent="0.3">
      <c r="A6" s="514" t="s">
        <v>13</v>
      </c>
      <c r="B6" s="488">
        <v>10</v>
      </c>
      <c r="C6" s="509">
        <v>10</v>
      </c>
      <c r="F6" s="440" t="s">
        <v>43</v>
      </c>
      <c r="G6" s="109"/>
      <c r="H6" s="109">
        <v>63</v>
      </c>
      <c r="I6" s="109">
        <v>0</v>
      </c>
      <c r="J6" s="109">
        <v>0</v>
      </c>
      <c r="K6" s="109">
        <v>0</v>
      </c>
      <c r="L6" s="109">
        <v>63</v>
      </c>
      <c r="M6" s="109">
        <v>0</v>
      </c>
      <c r="N6" s="109">
        <v>0</v>
      </c>
      <c r="O6" s="109">
        <v>0</v>
      </c>
      <c r="P6" s="109">
        <v>0</v>
      </c>
      <c r="Q6" s="109">
        <v>0</v>
      </c>
      <c r="R6" s="409">
        <v>63</v>
      </c>
    </row>
    <row r="7" spans="1:49" x14ac:dyDescent="0.3">
      <c r="A7" s="514" t="s">
        <v>15</v>
      </c>
      <c r="B7" s="488">
        <v>4</v>
      </c>
      <c r="C7" s="509">
        <v>10</v>
      </c>
      <c r="F7" s="441" t="s">
        <v>45</v>
      </c>
      <c r="G7" s="413"/>
      <c r="H7" s="454">
        <f>G5-H3</f>
        <v>46</v>
      </c>
      <c r="I7" s="454">
        <f t="shared" ref="I7:R7" si="0">H7+H5-I3</f>
        <v>32</v>
      </c>
      <c r="J7" s="454">
        <f t="shared" si="0"/>
        <v>18</v>
      </c>
      <c r="K7" s="454">
        <f t="shared" si="0"/>
        <v>7</v>
      </c>
      <c r="L7" s="454">
        <f t="shared" si="0"/>
        <v>60</v>
      </c>
      <c r="M7" s="454">
        <f t="shared" si="0"/>
        <v>50</v>
      </c>
      <c r="N7" s="454">
        <f t="shared" si="0"/>
        <v>42</v>
      </c>
      <c r="O7" s="454">
        <f t="shared" si="0"/>
        <v>30</v>
      </c>
      <c r="P7" s="454">
        <f t="shared" si="0"/>
        <v>19</v>
      </c>
      <c r="Q7" s="454">
        <f t="shared" si="0"/>
        <v>7</v>
      </c>
      <c r="R7" s="529">
        <f t="shared" si="0"/>
        <v>57</v>
      </c>
    </row>
    <row r="8" spans="1:49" x14ac:dyDescent="0.3">
      <c r="A8" s="514" t="s">
        <v>17</v>
      </c>
      <c r="B8" s="488">
        <v>20</v>
      </c>
      <c r="C8" s="509">
        <v>8</v>
      </c>
      <c r="Y8" t="s">
        <v>298</v>
      </c>
      <c r="Z8">
        <f>C15</f>
        <v>2300</v>
      </c>
      <c r="AA8" t="s">
        <v>267</v>
      </c>
      <c r="AB8">
        <f>C18</f>
        <v>13.9725</v>
      </c>
      <c r="AO8" t="s">
        <v>267</v>
      </c>
      <c r="AP8">
        <f>C18</f>
        <v>13.9725</v>
      </c>
      <c r="AQ8" t="s">
        <v>203</v>
      </c>
      <c r="AR8">
        <v>2300</v>
      </c>
    </row>
    <row r="9" spans="1:49" x14ac:dyDescent="0.3">
      <c r="A9" s="514" t="s">
        <v>19</v>
      </c>
      <c r="B9" s="488">
        <v>8</v>
      </c>
      <c r="C9" s="509">
        <v>12</v>
      </c>
      <c r="H9">
        <v>1</v>
      </c>
      <c r="I9">
        <v>2</v>
      </c>
      <c r="J9">
        <v>3</v>
      </c>
      <c r="K9">
        <v>4</v>
      </c>
      <c r="L9">
        <v>5</v>
      </c>
      <c r="M9">
        <v>6</v>
      </c>
      <c r="N9">
        <v>7</v>
      </c>
      <c r="O9">
        <v>8</v>
      </c>
      <c r="P9">
        <v>9</v>
      </c>
      <c r="Q9">
        <v>10</v>
      </c>
      <c r="R9">
        <v>11</v>
      </c>
      <c r="X9">
        <v>1</v>
      </c>
      <c r="Y9">
        <v>2</v>
      </c>
      <c r="Z9">
        <v>3</v>
      </c>
      <c r="AA9">
        <v>4</v>
      </c>
      <c r="AB9">
        <v>5</v>
      </c>
      <c r="AC9">
        <v>6</v>
      </c>
      <c r="AD9">
        <v>7</v>
      </c>
      <c r="AE9">
        <v>8</v>
      </c>
      <c r="AF9">
        <v>9</v>
      </c>
      <c r="AG9">
        <v>10</v>
      </c>
      <c r="AH9">
        <v>11</v>
      </c>
      <c r="AM9">
        <v>1</v>
      </c>
      <c r="AN9">
        <v>2</v>
      </c>
      <c r="AO9">
        <v>3</v>
      </c>
      <c r="AP9">
        <v>4</v>
      </c>
      <c r="AQ9">
        <v>5</v>
      </c>
      <c r="AR9">
        <v>6</v>
      </c>
      <c r="AS9">
        <v>7</v>
      </c>
      <c r="AT9">
        <v>8</v>
      </c>
      <c r="AU9">
        <v>9</v>
      </c>
      <c r="AV9">
        <v>10</v>
      </c>
      <c r="AW9">
        <v>11</v>
      </c>
    </row>
    <row r="10" spans="1:49" x14ac:dyDescent="0.3">
      <c r="A10" s="514" t="s">
        <v>21</v>
      </c>
      <c r="B10" s="488">
        <v>16</v>
      </c>
      <c r="C10" s="509">
        <v>11</v>
      </c>
      <c r="F10" s="522" t="s">
        <v>246</v>
      </c>
      <c r="G10" s="487" t="s">
        <v>163</v>
      </c>
      <c r="H10" s="509">
        <v>17</v>
      </c>
      <c r="I10" s="509">
        <v>14</v>
      </c>
      <c r="J10" s="509">
        <v>14</v>
      </c>
      <c r="K10" s="509">
        <v>11</v>
      </c>
      <c r="L10" s="509">
        <v>10</v>
      </c>
      <c r="M10" s="509">
        <v>10</v>
      </c>
      <c r="N10" s="509">
        <v>8</v>
      </c>
      <c r="O10" s="509">
        <v>12</v>
      </c>
      <c r="P10" s="509">
        <v>11</v>
      </c>
      <c r="Q10" s="509">
        <v>12</v>
      </c>
      <c r="R10" s="515">
        <v>13</v>
      </c>
      <c r="V10" s="485" t="s">
        <v>96</v>
      </c>
      <c r="W10" s="497" t="s">
        <v>163</v>
      </c>
      <c r="X10" s="509">
        <v>17</v>
      </c>
      <c r="Y10" s="509">
        <v>14</v>
      </c>
      <c r="Z10" s="509">
        <v>14</v>
      </c>
      <c r="AA10" s="509">
        <v>11</v>
      </c>
      <c r="AB10" s="509">
        <v>10</v>
      </c>
      <c r="AC10" s="509">
        <v>10</v>
      </c>
      <c r="AD10" s="509">
        <v>8</v>
      </c>
      <c r="AE10" s="509">
        <v>12</v>
      </c>
      <c r="AF10" s="509">
        <v>11</v>
      </c>
      <c r="AG10" s="509">
        <v>12</v>
      </c>
      <c r="AH10" s="515">
        <v>13</v>
      </c>
      <c r="AK10" s="485" t="s">
        <v>164</v>
      </c>
      <c r="AL10" s="507" t="s">
        <v>163</v>
      </c>
      <c r="AM10" s="509">
        <v>17</v>
      </c>
      <c r="AN10" s="509">
        <v>14</v>
      </c>
      <c r="AO10" s="509">
        <v>14</v>
      </c>
      <c r="AP10" s="509">
        <v>11</v>
      </c>
      <c r="AQ10" s="509">
        <v>10</v>
      </c>
      <c r="AR10" s="509">
        <v>10</v>
      </c>
      <c r="AS10" s="509">
        <v>8</v>
      </c>
      <c r="AT10" s="509">
        <v>12</v>
      </c>
      <c r="AU10" s="509">
        <v>11</v>
      </c>
      <c r="AV10" s="509">
        <v>12</v>
      </c>
      <c r="AW10" s="515">
        <v>13</v>
      </c>
    </row>
    <row r="11" spans="1:49" x14ac:dyDescent="0.3">
      <c r="A11" s="514" t="s">
        <v>23</v>
      </c>
      <c r="B11" s="488">
        <v>16</v>
      </c>
      <c r="C11" s="509">
        <v>12</v>
      </c>
      <c r="F11" s="146"/>
      <c r="G11" s="146"/>
      <c r="H11" s="489" t="s">
        <v>165</v>
      </c>
      <c r="I11" s="517"/>
      <c r="J11" s="489"/>
      <c r="K11" s="490"/>
      <c r="W11" s="480" t="s">
        <v>165</v>
      </c>
      <c r="X11" s="480"/>
      <c r="Y11" s="480"/>
      <c r="AL11" s="480" t="s">
        <v>269</v>
      </c>
      <c r="AM11" s="480"/>
      <c r="AN11" s="480"/>
      <c r="AO11" s="480"/>
    </row>
    <row r="12" spans="1:49" x14ac:dyDescent="0.3">
      <c r="A12" s="514" t="s">
        <v>28</v>
      </c>
      <c r="B12" s="488">
        <v>20</v>
      </c>
      <c r="C12" s="515">
        <v>13</v>
      </c>
      <c r="F12" s="146"/>
      <c r="G12" s="146"/>
      <c r="H12" s="518" t="s">
        <v>82</v>
      </c>
      <c r="I12" s="519">
        <f>F13</f>
        <v>2300</v>
      </c>
      <c r="J12" s="480"/>
      <c r="K12" s="480"/>
      <c r="W12" s="480" t="s">
        <v>82</v>
      </c>
      <c r="X12" s="480">
        <f>Z8/X10</f>
        <v>135.29411764705881</v>
      </c>
      <c r="Y12" s="480"/>
      <c r="Z12" s="496" t="s">
        <v>126</v>
      </c>
      <c r="AA12" s="509">
        <v>17</v>
      </c>
      <c r="AC12" s="480" t="s">
        <v>29</v>
      </c>
      <c r="AD12" s="480">
        <f>11*Z8</f>
        <v>25300</v>
      </c>
      <c r="AL12" s="480"/>
      <c r="AM12" s="480"/>
      <c r="AN12" s="480"/>
      <c r="AO12" s="480"/>
    </row>
    <row r="13" spans="1:49" x14ac:dyDescent="0.3">
      <c r="E13" t="s">
        <v>203</v>
      </c>
      <c r="F13">
        <f>C15</f>
        <v>2300</v>
      </c>
      <c r="G13" s="146"/>
      <c r="H13" s="489" t="s">
        <v>85</v>
      </c>
      <c r="I13" s="517">
        <f>(I12+F14*I10)/2</f>
        <v>1247.8074999999999</v>
      </c>
      <c r="J13" s="480"/>
      <c r="K13" s="480"/>
      <c r="W13" s="480" t="s">
        <v>85</v>
      </c>
      <c r="X13" s="480">
        <f>(Z8+AB8*Y10)/X10+Y10</f>
        <v>160.80088235294116</v>
      </c>
      <c r="Y13" s="480" t="s">
        <v>168</v>
      </c>
      <c r="Z13" s="496" t="s">
        <v>145</v>
      </c>
      <c r="AA13" s="509">
        <v>14</v>
      </c>
      <c r="AC13" s="480" t="s">
        <v>33</v>
      </c>
      <c r="AD13" s="480">
        <v>0</v>
      </c>
      <c r="AL13" s="512" t="s">
        <v>144</v>
      </c>
      <c r="AM13" s="480"/>
      <c r="AN13" s="480"/>
      <c r="AO13" s="480"/>
    </row>
    <row r="14" spans="1:49" x14ac:dyDescent="0.3">
      <c r="A14" s="516" t="s">
        <v>268</v>
      </c>
      <c r="C14">
        <f>AVERAGE(C2:C12)</f>
        <v>12</v>
      </c>
      <c r="E14" t="s">
        <v>267</v>
      </c>
      <c r="F14">
        <f>C18</f>
        <v>13.9725</v>
      </c>
      <c r="G14" s="146"/>
      <c r="H14" s="489" t="s">
        <v>86</v>
      </c>
      <c r="I14" s="517">
        <f>(I12+F14*I10+2*F14*J10)/3</f>
        <v>962.28166666666664</v>
      </c>
      <c r="J14" s="480"/>
      <c r="K14" s="480"/>
      <c r="M14" s="480" t="s">
        <v>308</v>
      </c>
      <c r="N14" s="480">
        <f>SUM(H10:N10)</f>
        <v>84</v>
      </c>
      <c r="W14" s="480"/>
      <c r="X14" s="480"/>
      <c r="Y14" s="480"/>
      <c r="Z14" s="496" t="s">
        <v>170</v>
      </c>
      <c r="AA14" s="509">
        <v>14</v>
      </c>
      <c r="AC14" s="480" t="s">
        <v>36</v>
      </c>
      <c r="AD14" s="480">
        <f>SUM(AD12:AD13)</f>
        <v>25300</v>
      </c>
      <c r="AL14" s="512">
        <v>1</v>
      </c>
      <c r="AM14" s="480">
        <v>0</v>
      </c>
      <c r="AN14" s="480"/>
      <c r="AO14" s="480"/>
      <c r="AP14" s="480" t="s">
        <v>273</v>
      </c>
      <c r="AQ14" s="511">
        <f>SUM(AM10:AQ10)</f>
        <v>66</v>
      </c>
      <c r="AT14" s="480" t="s">
        <v>29</v>
      </c>
      <c r="AU14" s="480">
        <f>3*AR8</f>
        <v>6900</v>
      </c>
    </row>
    <row r="15" spans="1:49" x14ac:dyDescent="0.3">
      <c r="A15" s="516" t="s">
        <v>42</v>
      </c>
      <c r="C15">
        <v>2300</v>
      </c>
      <c r="F15" s="146"/>
      <c r="G15" s="146"/>
      <c r="H15" s="489" t="s">
        <v>87</v>
      </c>
      <c r="I15" s="517">
        <f>(I12+F14*I10+2*F14*J10+3*F14*K10)/4</f>
        <v>836.984375</v>
      </c>
      <c r="J15" s="480"/>
      <c r="K15" s="480"/>
      <c r="M15" s="480" t="s">
        <v>276</v>
      </c>
      <c r="N15" s="480">
        <f>SUM(O10:R10)</f>
        <v>48</v>
      </c>
      <c r="W15" s="480"/>
      <c r="X15" s="480"/>
      <c r="Y15" s="480"/>
      <c r="Z15" s="496" t="s">
        <v>173</v>
      </c>
      <c r="AA15" s="509">
        <v>11</v>
      </c>
      <c r="AD15" s="14"/>
      <c r="AL15" s="512">
        <v>2</v>
      </c>
      <c r="AM15" s="480">
        <f>AP8*AN10</f>
        <v>195.61500000000001</v>
      </c>
      <c r="AN15" s="480"/>
      <c r="AO15" s="480"/>
      <c r="AP15" s="480" t="s">
        <v>301</v>
      </c>
      <c r="AQ15" s="511">
        <f>SUM(AR10:AV10)</f>
        <v>53</v>
      </c>
      <c r="AT15" s="480" t="s">
        <v>219</v>
      </c>
      <c r="AU15" s="480">
        <f>SUM(AR19:AR29)*AP8</f>
        <v>3185.73</v>
      </c>
    </row>
    <row r="16" spans="1:49" x14ac:dyDescent="0.3">
      <c r="A16" s="516" t="s">
        <v>143</v>
      </c>
      <c r="C16">
        <v>0.46</v>
      </c>
      <c r="F16" s="146"/>
      <c r="G16" s="146"/>
      <c r="H16" s="489" t="s">
        <v>90</v>
      </c>
      <c r="I16" s="517">
        <f>(I12+F14*I10+2*F14*J10+3*F14*K10+4*F14*L10)/5</f>
        <v>781.36750000000006</v>
      </c>
      <c r="J16" s="480"/>
      <c r="K16" s="480"/>
      <c r="M16" s="480"/>
      <c r="N16" s="480"/>
      <c r="W16" s="480" t="s">
        <v>172</v>
      </c>
      <c r="X16" s="480"/>
      <c r="Y16" s="480"/>
      <c r="Z16" s="496" t="s">
        <v>174</v>
      </c>
      <c r="AA16" s="509">
        <v>10</v>
      </c>
      <c r="AL16" s="512">
        <v>3</v>
      </c>
      <c r="AM16" s="480">
        <f>AM15+2*AP8*AO10</f>
        <v>586.84500000000003</v>
      </c>
      <c r="AN16" s="480"/>
      <c r="AO16" s="480"/>
      <c r="AP16" s="480" t="s">
        <v>309</v>
      </c>
      <c r="AQ16" s="511">
        <f>AW10</f>
        <v>13</v>
      </c>
      <c r="AT16" s="480" t="s">
        <v>36</v>
      </c>
      <c r="AU16" s="480">
        <f>SUM(AU14:AU15)</f>
        <v>10085.73</v>
      </c>
    </row>
    <row r="17" spans="1:44" x14ac:dyDescent="0.3">
      <c r="A17" s="516" t="s">
        <v>70</v>
      </c>
      <c r="C17" s="14">
        <v>30.375</v>
      </c>
      <c r="F17" s="146"/>
      <c r="G17" s="146"/>
      <c r="H17" s="489" t="s">
        <v>91</v>
      </c>
      <c r="I17" s="517">
        <f>(I12+F14*I10+2*F14*J10+3*F14*K10+4*F14*L10+5*F14*M10)/6</f>
        <v>767.57708333333323</v>
      </c>
      <c r="J17" s="506"/>
      <c r="K17" s="480"/>
      <c r="M17" s="480"/>
      <c r="N17" s="480"/>
      <c r="Q17" s="110"/>
      <c r="W17" s="480" t="s">
        <v>82</v>
      </c>
      <c r="X17" s="480">
        <f>Z8/Y10</f>
        <v>164.28571428571428</v>
      </c>
      <c r="Y17" s="480"/>
      <c r="Z17" s="496" t="s">
        <v>153</v>
      </c>
      <c r="AA17" s="509">
        <v>10</v>
      </c>
      <c r="AL17" s="512">
        <v>4</v>
      </c>
      <c r="AM17" s="480">
        <f>AM15+AM16+3*AP8*AP10</f>
        <v>1243.5525</v>
      </c>
      <c r="AN17" s="480"/>
      <c r="AO17" s="480"/>
    </row>
    <row r="18" spans="1:44" x14ac:dyDescent="0.3">
      <c r="A18" s="516" t="s">
        <v>6</v>
      </c>
      <c r="C18">
        <f>C16*C17</f>
        <v>13.9725</v>
      </c>
      <c r="F18" s="146"/>
      <c r="G18" s="146"/>
      <c r="H18" s="489" t="s">
        <v>111</v>
      </c>
      <c r="I18" s="517">
        <f>(I12+F14*I10+2*F14*J10+3*F14*K10+4*F14*L10+5*F14*M10+6*F14*N10)/7</f>
        <v>753.73464285714283</v>
      </c>
      <c r="J18" s="480"/>
      <c r="K18" s="480"/>
      <c r="M18" s="480" t="s">
        <v>29</v>
      </c>
      <c r="N18" s="480">
        <f>2*F13</f>
        <v>4600</v>
      </c>
      <c r="W18" s="480" t="s">
        <v>85</v>
      </c>
      <c r="X18" s="480">
        <f>(Z8+AB8*Z10)/Y10+Z10</f>
        <v>192.25821428571427</v>
      </c>
      <c r="Y18" s="480" t="s">
        <v>168</v>
      </c>
      <c r="Z18" s="496" t="s">
        <v>151</v>
      </c>
      <c r="AA18" s="509">
        <v>8</v>
      </c>
      <c r="AL18" s="512">
        <v>5</v>
      </c>
      <c r="AM18" s="480">
        <f>AM15+AM16+AM17+4*AP8*AQ10</f>
        <v>2584.9124999999999</v>
      </c>
      <c r="AN18" s="480" t="s">
        <v>303</v>
      </c>
      <c r="AO18" s="480"/>
      <c r="AP18" s="485"/>
      <c r="AQ18" s="485" t="s">
        <v>234</v>
      </c>
      <c r="AR18" s="485" t="s">
        <v>128</v>
      </c>
    </row>
    <row r="19" spans="1:44" x14ac:dyDescent="0.3">
      <c r="F19" s="146"/>
      <c r="G19" s="146"/>
      <c r="H19" s="489" t="s">
        <v>112</v>
      </c>
      <c r="I19" s="517">
        <f>(I12+F14*I10+2*F14*J10+3*F14*K10+4*F14*L10+5*F14*M10+6*F14*N10+7*F14*O10)/8</f>
        <v>806.22906250000005</v>
      </c>
      <c r="J19" s="480" t="s">
        <v>259</v>
      </c>
      <c r="K19" s="480"/>
      <c r="M19" s="480" t="s">
        <v>33</v>
      </c>
      <c r="N19" s="480">
        <f>SUM(O27:O37)*F14</f>
        <v>4010.1075000000001</v>
      </c>
      <c r="W19" s="480" t="s">
        <v>176</v>
      </c>
      <c r="X19" s="480"/>
      <c r="Y19" s="480"/>
      <c r="Z19" s="496" t="s">
        <v>156</v>
      </c>
      <c r="AA19" s="509">
        <v>12</v>
      </c>
      <c r="AL19" s="512"/>
      <c r="AM19" s="480"/>
      <c r="AN19" s="480"/>
      <c r="AO19" s="480"/>
      <c r="AP19" s="485" t="s">
        <v>5</v>
      </c>
      <c r="AQ19" s="485">
        <v>66</v>
      </c>
      <c r="AR19" s="524">
        <f>AQ19-AM10</f>
        <v>49</v>
      </c>
    </row>
    <row r="20" spans="1:44" x14ac:dyDescent="0.3">
      <c r="F20" s="146"/>
      <c r="G20" s="146"/>
      <c r="H20" s="489"/>
      <c r="I20" s="517"/>
      <c r="J20" s="480"/>
      <c r="K20" s="480"/>
      <c r="M20" s="480" t="s">
        <v>36</v>
      </c>
      <c r="N20" s="480">
        <f>SUM(N18:N19)</f>
        <v>8610.1075000000001</v>
      </c>
      <c r="W20" s="480" t="s">
        <v>82</v>
      </c>
      <c r="X20" s="480">
        <f>Z8/Z10</f>
        <v>164.28571428571428</v>
      </c>
      <c r="Y20" s="480"/>
      <c r="Z20" s="496" t="s">
        <v>178</v>
      </c>
      <c r="AA20" s="509">
        <v>11</v>
      </c>
      <c r="AL20" s="512" t="s">
        <v>281</v>
      </c>
      <c r="AM20" s="480"/>
      <c r="AN20" s="480"/>
      <c r="AO20" s="480"/>
      <c r="AP20" s="485" t="s">
        <v>7</v>
      </c>
      <c r="AQ20" s="485"/>
      <c r="AR20" s="524">
        <f>AR19-AN10</f>
        <v>35</v>
      </c>
    </row>
    <row r="21" spans="1:44" x14ac:dyDescent="0.3">
      <c r="F21" s="146"/>
      <c r="G21" s="146"/>
      <c r="H21" s="489" t="s">
        <v>190</v>
      </c>
      <c r="I21" s="517"/>
      <c r="J21" s="480"/>
      <c r="K21" s="480"/>
      <c r="M21" s="480"/>
      <c r="N21" s="480"/>
      <c r="W21" s="480" t="s">
        <v>85</v>
      </c>
      <c r="X21" s="480">
        <f>(Z8+AB8*AA10)/Z10+AA10</f>
        <v>186.26410714285717</v>
      </c>
      <c r="Y21" s="480" t="s">
        <v>168</v>
      </c>
      <c r="Z21" s="496" t="s">
        <v>179</v>
      </c>
      <c r="AA21" s="509">
        <v>12</v>
      </c>
      <c r="AL21" s="512">
        <v>1</v>
      </c>
      <c r="AM21" s="480">
        <v>0</v>
      </c>
      <c r="AN21" s="480"/>
      <c r="AO21" s="480"/>
      <c r="AP21" s="485" t="s">
        <v>9</v>
      </c>
      <c r="AQ21" s="485"/>
      <c r="AR21" s="524">
        <f>AR20-AO10</f>
        <v>21</v>
      </c>
    </row>
    <row r="22" spans="1:44" x14ac:dyDescent="0.3">
      <c r="F22" s="146"/>
      <c r="G22" s="146"/>
      <c r="H22" s="489" t="s">
        <v>82</v>
      </c>
      <c r="I22" s="517">
        <f>F13</f>
        <v>2300</v>
      </c>
      <c r="J22" s="480"/>
      <c r="K22" s="480"/>
      <c r="M22" s="480"/>
      <c r="N22" s="480"/>
      <c r="P22" s="111"/>
      <c r="Q22" s="242"/>
      <c r="R22" s="110"/>
      <c r="W22" s="480" t="s">
        <v>181</v>
      </c>
      <c r="X22" s="480"/>
      <c r="Y22" s="480"/>
      <c r="Z22" s="496" t="s">
        <v>180</v>
      </c>
      <c r="AA22" s="515">
        <v>13</v>
      </c>
      <c r="AL22" s="512">
        <v>2</v>
      </c>
      <c r="AM22" s="480">
        <f>AP8*AR10</f>
        <v>139.72499999999999</v>
      </c>
      <c r="AN22" s="480"/>
      <c r="AO22" s="480"/>
      <c r="AP22" s="485" t="s">
        <v>11</v>
      </c>
      <c r="AQ22" s="485"/>
      <c r="AR22" s="524">
        <f>AR21-AP10</f>
        <v>10</v>
      </c>
    </row>
    <row r="23" spans="1:44" x14ac:dyDescent="0.3">
      <c r="F23" s="146"/>
      <c r="G23" s="146"/>
      <c r="H23" s="489" t="s">
        <v>85</v>
      </c>
      <c r="I23" s="517">
        <f>(I22+F14*P10)/2</f>
        <v>1226.8487500000001</v>
      </c>
      <c r="J23" s="480"/>
      <c r="K23" s="480"/>
      <c r="P23" s="111"/>
      <c r="Q23" s="111"/>
      <c r="W23" s="480" t="s">
        <v>82</v>
      </c>
      <c r="X23" s="480">
        <f>Z8/AA10</f>
        <v>209.09090909090909</v>
      </c>
      <c r="Y23" s="480"/>
      <c r="AL23" s="512">
        <v>3</v>
      </c>
      <c r="AM23" s="480">
        <f>AM22+2*AP8*AS10</f>
        <v>363.28499999999997</v>
      </c>
      <c r="AN23" s="480"/>
      <c r="AO23" s="480"/>
      <c r="AP23" s="485" t="s">
        <v>13</v>
      </c>
      <c r="AQ23" s="485"/>
      <c r="AR23" s="524">
        <f>AR22-AQ10</f>
        <v>0</v>
      </c>
    </row>
    <row r="24" spans="1:44" x14ac:dyDescent="0.3">
      <c r="F24" s="146"/>
      <c r="G24" s="146"/>
      <c r="H24" s="489" t="s">
        <v>86</v>
      </c>
      <c r="I24" s="517">
        <f>(I22+F14*P10+2*F14*Q10)/3</f>
        <v>929.67916666666679</v>
      </c>
      <c r="J24" s="506"/>
      <c r="K24" s="480"/>
      <c r="P24" s="111"/>
      <c r="Q24" s="111"/>
      <c r="W24" s="480" t="s">
        <v>85</v>
      </c>
      <c r="X24" s="480">
        <f>(Z8+AB8*AB10)/AA10+AB10</f>
        <v>231.79318181818181</v>
      </c>
      <c r="Y24" s="480" t="s">
        <v>168</v>
      </c>
      <c r="AL24" s="512">
        <v>4</v>
      </c>
      <c r="AM24" s="480">
        <f>AM22+AM23+3*AP8*AS10</f>
        <v>838.35</v>
      </c>
      <c r="AN24" s="480"/>
      <c r="AO24" s="480"/>
      <c r="AP24" s="485" t="s">
        <v>15</v>
      </c>
      <c r="AQ24" s="485">
        <v>53</v>
      </c>
      <c r="AR24" s="524">
        <f>AQ24-AR10</f>
        <v>43</v>
      </c>
    </row>
    <row r="25" spans="1:44" x14ac:dyDescent="0.3">
      <c r="F25" s="146"/>
      <c r="G25" s="146"/>
      <c r="H25" s="489" t="s">
        <v>87</v>
      </c>
      <c r="I25" s="517">
        <f>(I22+F14*P10+2*F14*Q10+3*F14*R10)/4</f>
        <v>833.49125000000004</v>
      </c>
      <c r="J25" s="480" t="s">
        <v>283</v>
      </c>
      <c r="K25" s="480"/>
      <c r="P25" s="111"/>
      <c r="Q25" s="111"/>
      <c r="W25" s="480" t="s">
        <v>183</v>
      </c>
      <c r="X25" s="480"/>
      <c r="Y25" s="480"/>
      <c r="AL25" s="512">
        <v>5</v>
      </c>
      <c r="AM25" s="480">
        <f>AM22+AM23+AM24+4*AP8*AU10</f>
        <v>1956.15</v>
      </c>
      <c r="AN25" s="480" t="s">
        <v>303</v>
      </c>
      <c r="AO25" s="480"/>
      <c r="AP25" s="485" t="s">
        <v>17</v>
      </c>
      <c r="AQ25" s="485"/>
      <c r="AR25" s="524">
        <f>AR24-AS10</f>
        <v>35</v>
      </c>
    </row>
    <row r="26" spans="1:44" x14ac:dyDescent="0.3">
      <c r="F26" s="146"/>
      <c r="G26" s="146"/>
      <c r="H26" s="520"/>
      <c r="I26" s="521"/>
      <c r="J26" s="480"/>
      <c r="K26" s="480"/>
      <c r="M26" s="482"/>
      <c r="N26" s="483" t="s">
        <v>127</v>
      </c>
      <c r="O26" s="483" t="s">
        <v>128</v>
      </c>
      <c r="Q26" s="111"/>
      <c r="W26" s="480" t="s">
        <v>82</v>
      </c>
      <c r="X26" s="480">
        <f>Z8/AB10</f>
        <v>230</v>
      </c>
      <c r="Y26" s="480"/>
      <c r="AL26" s="512">
        <v>6</v>
      </c>
      <c r="AM26" s="480">
        <f>AM22+AM23+AM24+AM25+5*AP8*AV10</f>
        <v>4135.8600000000006</v>
      </c>
      <c r="AN26" s="480"/>
      <c r="AO26" s="480"/>
      <c r="AP26" s="485" t="s">
        <v>19</v>
      </c>
      <c r="AQ26" s="485"/>
      <c r="AR26" s="524">
        <f>AR25-AT10</f>
        <v>23</v>
      </c>
    </row>
    <row r="27" spans="1:44" x14ac:dyDescent="0.3">
      <c r="F27" s="146"/>
      <c r="G27" s="146"/>
      <c r="M27" s="484" t="s">
        <v>5</v>
      </c>
      <c r="N27" s="485">
        <v>84</v>
      </c>
      <c r="O27" s="485">
        <f>N27-H10</f>
        <v>67</v>
      </c>
      <c r="Q27" s="111"/>
      <c r="W27" s="480" t="s">
        <v>85</v>
      </c>
      <c r="X27" s="480">
        <f>(Z8+AB8*AC10)/AB10+AC10</f>
        <v>253.9725</v>
      </c>
      <c r="Y27" s="480" t="s">
        <v>168</v>
      </c>
      <c r="AB27" s="242"/>
      <c r="AC27" s="110"/>
      <c r="AD27" s="110"/>
      <c r="AL27" s="512"/>
      <c r="AM27" s="480"/>
      <c r="AN27" s="480"/>
      <c r="AO27" s="480"/>
      <c r="AP27" s="485" t="s">
        <v>21</v>
      </c>
      <c r="AQ27" s="485"/>
      <c r="AR27" s="524">
        <f>AR26-AU10</f>
        <v>12</v>
      </c>
    </row>
    <row r="28" spans="1:44" x14ac:dyDescent="0.3">
      <c r="F28" s="146"/>
      <c r="G28" s="146"/>
      <c r="M28" s="484" t="s">
        <v>7</v>
      </c>
      <c r="N28" s="485"/>
      <c r="O28" s="485">
        <f>O27-I10</f>
        <v>53</v>
      </c>
      <c r="Q28" s="111"/>
      <c r="W28" s="480" t="s">
        <v>185</v>
      </c>
      <c r="X28" s="480"/>
      <c r="Y28" s="480"/>
      <c r="AB28" s="111"/>
      <c r="AC28" s="14"/>
      <c r="AD28" s="14"/>
      <c r="AL28" s="512">
        <v>1</v>
      </c>
      <c r="AM28" s="480">
        <v>0</v>
      </c>
      <c r="AN28" s="480"/>
      <c r="AO28" s="480"/>
      <c r="AP28" s="485" t="s">
        <v>23</v>
      </c>
      <c r="AQ28" s="485"/>
      <c r="AR28" s="524">
        <f>AR27-AV10</f>
        <v>0</v>
      </c>
    </row>
    <row r="29" spans="1:44" x14ac:dyDescent="0.3">
      <c r="F29" s="146"/>
      <c r="G29" s="146"/>
      <c r="M29" s="484" t="s">
        <v>9</v>
      </c>
      <c r="N29" s="485"/>
      <c r="O29" s="485">
        <f>O28-J10</f>
        <v>39</v>
      </c>
      <c r="Q29" s="111"/>
      <c r="W29" s="480" t="s">
        <v>82</v>
      </c>
      <c r="X29" s="480">
        <f>Z8/AC10</f>
        <v>230</v>
      </c>
      <c r="Y29" s="480"/>
      <c r="AB29" s="111"/>
      <c r="AD29" s="14"/>
      <c r="AL29" s="512">
        <v>2</v>
      </c>
      <c r="AM29" s="480">
        <f>AP8*AW10</f>
        <v>181.64250000000001</v>
      </c>
      <c r="AN29" s="480"/>
      <c r="AO29" s="480"/>
      <c r="AP29" s="485" t="s">
        <v>28</v>
      </c>
      <c r="AQ29" s="485">
        <v>13</v>
      </c>
      <c r="AR29" s="524">
        <f>AQ29-AW10</f>
        <v>0</v>
      </c>
    </row>
    <row r="30" spans="1:44" x14ac:dyDescent="0.3">
      <c r="F30" s="146"/>
      <c r="G30" s="146"/>
      <c r="M30" s="484" t="s">
        <v>11</v>
      </c>
      <c r="N30" s="485"/>
      <c r="O30" s="485">
        <f>O29-K10</f>
        <v>28</v>
      </c>
      <c r="W30" s="480" t="s">
        <v>85</v>
      </c>
      <c r="X30" s="480">
        <f>(Z8+AB8*AD10)/AC10+AD10</f>
        <v>249.17800000000003</v>
      </c>
      <c r="Y30" s="480" t="s">
        <v>168</v>
      </c>
      <c r="AB30" s="111"/>
      <c r="AD30" s="14"/>
      <c r="AL30" s="512"/>
      <c r="AM30" s="480"/>
      <c r="AN30" s="480"/>
      <c r="AO30" s="480"/>
    </row>
    <row r="31" spans="1:44" x14ac:dyDescent="0.3">
      <c r="F31" s="146"/>
      <c r="G31" s="146"/>
      <c r="M31" s="484" t="s">
        <v>13</v>
      </c>
      <c r="N31" s="485"/>
      <c r="O31" s="485">
        <f>O30-L10</f>
        <v>18</v>
      </c>
      <c r="W31" s="480" t="s">
        <v>188</v>
      </c>
      <c r="X31" s="480"/>
      <c r="Y31" s="480"/>
      <c r="AB31" s="111"/>
      <c r="AD31" s="14"/>
      <c r="AL31" s="480"/>
      <c r="AM31" s="480"/>
      <c r="AN31" s="480"/>
      <c r="AO31" s="480"/>
    </row>
    <row r="32" spans="1:44" x14ac:dyDescent="0.3">
      <c r="F32" s="146"/>
      <c r="G32" s="146"/>
      <c r="M32" s="484" t="s">
        <v>15</v>
      </c>
      <c r="N32" s="485"/>
      <c r="O32" s="485">
        <f>O31-M10</f>
        <v>8</v>
      </c>
      <c r="W32" s="480" t="s">
        <v>82</v>
      </c>
      <c r="X32" s="480">
        <f>Z8/AD10</f>
        <v>287.5</v>
      </c>
      <c r="Y32" s="480"/>
      <c r="AB32" s="111"/>
      <c r="AD32" s="14"/>
      <c r="AL32" s="480"/>
      <c r="AM32" s="480"/>
      <c r="AN32" s="480"/>
      <c r="AO32" s="480"/>
    </row>
    <row r="33" spans="6:41" x14ac:dyDescent="0.3">
      <c r="F33" s="146"/>
      <c r="G33" s="146"/>
      <c r="M33" s="484" t="s">
        <v>17</v>
      </c>
      <c r="N33" s="485"/>
      <c r="O33" s="485">
        <f>O32-N10</f>
        <v>0</v>
      </c>
      <c r="W33" s="480" t="s">
        <v>85</v>
      </c>
      <c r="X33" s="480">
        <f>(Z8+AB8*AE10)/AD10+AE10</f>
        <v>320.45875000000001</v>
      </c>
      <c r="Y33" s="480" t="s">
        <v>168</v>
      </c>
      <c r="AB33" s="111"/>
      <c r="AD33" s="14"/>
      <c r="AL33" s="480"/>
      <c r="AM33" s="480"/>
      <c r="AN33" s="480"/>
      <c r="AO33" s="480"/>
    </row>
    <row r="34" spans="6:41" x14ac:dyDescent="0.3">
      <c r="F34" s="146"/>
      <c r="G34" s="146"/>
      <c r="M34" s="484" t="s">
        <v>19</v>
      </c>
      <c r="N34" s="485">
        <v>48</v>
      </c>
      <c r="O34" s="485">
        <f>N34-O10</f>
        <v>36</v>
      </c>
      <c r="W34" s="480" t="s">
        <v>190</v>
      </c>
      <c r="X34" s="480"/>
      <c r="Y34" s="480"/>
      <c r="AB34" s="111"/>
      <c r="AD34" s="14"/>
    </row>
    <row r="35" spans="6:41" x14ac:dyDescent="0.3">
      <c r="F35" s="146"/>
      <c r="G35" s="146"/>
      <c r="M35" s="484" t="s">
        <v>21</v>
      </c>
      <c r="N35" s="485"/>
      <c r="O35" s="485">
        <f>O34-P10</f>
        <v>25</v>
      </c>
      <c r="W35" s="480" t="s">
        <v>82</v>
      </c>
      <c r="X35" s="480">
        <f>Z8/AE10</f>
        <v>191.66666666666666</v>
      </c>
      <c r="Y35" s="480"/>
    </row>
    <row r="36" spans="6:41" x14ac:dyDescent="0.3">
      <c r="F36" s="146"/>
      <c r="G36" s="146"/>
      <c r="M36" s="484" t="s">
        <v>23</v>
      </c>
      <c r="N36" s="485"/>
      <c r="O36" s="485">
        <f>O35-Q10</f>
        <v>13</v>
      </c>
      <c r="W36" s="480" t="s">
        <v>85</v>
      </c>
      <c r="X36" s="480">
        <f>(Z8+AB8*AF10)/AE10+AF10</f>
        <v>215.47479166666668</v>
      </c>
      <c r="Y36" s="480" t="s">
        <v>168</v>
      </c>
    </row>
    <row r="37" spans="6:41" x14ac:dyDescent="0.3">
      <c r="F37" s="146"/>
      <c r="G37" s="146"/>
      <c r="H37" s="110"/>
      <c r="M37" s="484" t="s">
        <v>28</v>
      </c>
      <c r="N37" s="485"/>
      <c r="O37" s="485">
        <f>O36-R10</f>
        <v>0</v>
      </c>
      <c r="W37" s="480" t="s">
        <v>193</v>
      </c>
      <c r="X37" s="480"/>
      <c r="Y37" s="480"/>
    </row>
    <row r="38" spans="6:41" x14ac:dyDescent="0.3">
      <c r="W38" s="480" t="s">
        <v>82</v>
      </c>
      <c r="X38" s="480">
        <f>Z8/AF10</f>
        <v>209.09090909090909</v>
      </c>
      <c r="Y38" s="480"/>
    </row>
    <row r="39" spans="6:41" x14ac:dyDescent="0.3">
      <c r="W39" s="480" t="s">
        <v>85</v>
      </c>
      <c r="X39" s="480">
        <f>(Z8+AB8*AG10)/AF10+AG10</f>
        <v>236.33363636363637</v>
      </c>
      <c r="Y39" s="480" t="s">
        <v>168</v>
      </c>
    </row>
    <row r="40" spans="6:41" x14ac:dyDescent="0.3">
      <c r="W40" s="480" t="s">
        <v>196</v>
      </c>
      <c r="X40" s="480"/>
      <c r="Y40" s="480"/>
    </row>
    <row r="41" spans="6:41" x14ac:dyDescent="0.3">
      <c r="W41" s="480" t="s">
        <v>82</v>
      </c>
      <c r="X41" s="480">
        <f>Z8/AG10</f>
        <v>191.66666666666666</v>
      </c>
      <c r="Y41" s="480"/>
    </row>
    <row r="42" spans="6:41" x14ac:dyDescent="0.3">
      <c r="W42" s="480" t="s">
        <v>85</v>
      </c>
      <c r="X42" s="480">
        <f>(Z8+AB8*AH10)/AG10+AH10</f>
        <v>219.80354166666666</v>
      </c>
      <c r="Y42" s="480" t="s">
        <v>168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38208-D7FB-48A4-9622-4D76F432056E}">
  <dimension ref="B6:AA63"/>
  <sheetViews>
    <sheetView topLeftCell="J8" zoomScale="67" workbookViewId="0">
      <selection activeCell="S17" sqref="S17:V22"/>
    </sheetView>
  </sheetViews>
  <sheetFormatPr defaultColWidth="8.77734375" defaultRowHeight="14.4" x14ac:dyDescent="0.3"/>
  <cols>
    <col min="2" max="2" width="20.6640625" bestFit="1" customWidth="1"/>
    <col min="3" max="3" width="10.44140625" customWidth="1"/>
    <col min="4" max="4" width="11.44140625" bestFit="1" customWidth="1"/>
    <col min="5" max="5" width="10.44140625" customWidth="1"/>
    <col min="8" max="8" width="22.109375" bestFit="1" customWidth="1"/>
    <col min="9" max="9" width="16.33203125" bestFit="1" customWidth="1"/>
    <col min="10" max="10" width="55.109375" bestFit="1" customWidth="1"/>
    <col min="11" max="11" width="11" bestFit="1" customWidth="1"/>
    <col min="13" max="13" width="21.44140625" bestFit="1" customWidth="1"/>
    <col min="14" max="14" width="10.33203125" bestFit="1" customWidth="1"/>
    <col min="15" max="15" width="12.109375" bestFit="1" customWidth="1"/>
    <col min="16" max="16" width="9.6640625" bestFit="1" customWidth="1"/>
    <col min="19" max="19" width="22.44140625" bestFit="1" customWidth="1"/>
    <col min="20" max="20" width="10.77734375" customWidth="1"/>
    <col min="21" max="21" width="15.33203125" customWidth="1"/>
    <col min="22" max="22" width="10.109375" bestFit="1" customWidth="1"/>
    <col min="24" max="24" width="29.33203125" bestFit="1" customWidth="1"/>
    <col min="25" max="25" width="10.33203125" bestFit="1" customWidth="1"/>
    <col min="26" max="26" width="12.109375" bestFit="1" customWidth="1"/>
    <col min="27" max="27" width="9.6640625" bestFit="1" customWidth="1"/>
  </cols>
  <sheetData>
    <row r="6" spans="2:27" x14ac:dyDescent="0.3">
      <c r="S6" s="419"/>
    </row>
    <row r="9" spans="2:27" x14ac:dyDescent="0.3">
      <c r="B9" s="110" t="s">
        <v>310</v>
      </c>
      <c r="C9" s="419"/>
      <c r="D9" s="419"/>
      <c r="E9" s="419"/>
      <c r="H9" s="110" t="s">
        <v>311</v>
      </c>
      <c r="I9" s="419"/>
      <c r="J9" s="419"/>
      <c r="K9" s="419"/>
      <c r="M9" s="110" t="s">
        <v>312</v>
      </c>
      <c r="N9" s="419"/>
      <c r="O9" s="419"/>
      <c r="P9" s="419"/>
      <c r="S9" s="110" t="s">
        <v>313</v>
      </c>
      <c r="X9" s="110" t="s">
        <v>314</v>
      </c>
    </row>
    <row r="10" spans="2:27" x14ac:dyDescent="0.3">
      <c r="B10" s="110" t="s">
        <v>315</v>
      </c>
      <c r="C10" s="110" t="s">
        <v>74</v>
      </c>
      <c r="D10" s="110" t="s">
        <v>75</v>
      </c>
      <c r="E10" s="110" t="s">
        <v>76</v>
      </c>
      <c r="H10" s="110" t="s">
        <v>315</v>
      </c>
      <c r="I10" s="110" t="s">
        <v>74</v>
      </c>
      <c r="J10" s="110" t="s">
        <v>75</v>
      </c>
      <c r="K10" s="110" t="s">
        <v>76</v>
      </c>
      <c r="M10" s="110" t="s">
        <v>315</v>
      </c>
      <c r="N10" s="110" t="s">
        <v>74</v>
      </c>
      <c r="O10" s="110" t="s">
        <v>75</v>
      </c>
      <c r="P10" s="110" t="s">
        <v>76</v>
      </c>
      <c r="S10" s="110" t="s">
        <v>315</v>
      </c>
      <c r="T10" s="110" t="s">
        <v>74</v>
      </c>
      <c r="U10" s="110" t="s">
        <v>75</v>
      </c>
      <c r="V10" s="110" t="s">
        <v>76</v>
      </c>
      <c r="X10" s="110" t="s">
        <v>315</v>
      </c>
      <c r="Y10" s="110" t="s">
        <v>74</v>
      </c>
      <c r="Z10" s="110" t="s">
        <v>75</v>
      </c>
      <c r="AA10" s="110" t="s">
        <v>76</v>
      </c>
    </row>
    <row r="11" spans="2:27" x14ac:dyDescent="0.3">
      <c r="B11" s="110" t="s">
        <v>40</v>
      </c>
      <c r="C11" s="419">
        <v>9200</v>
      </c>
      <c r="D11" s="419">
        <v>8915.9223999999995</v>
      </c>
      <c r="E11" s="419">
        <v>18115.922399999999</v>
      </c>
      <c r="H11" s="110" t="s">
        <v>40</v>
      </c>
      <c r="I11">
        <v>6900</v>
      </c>
      <c r="J11">
        <v>5616.9449999999997</v>
      </c>
      <c r="K11">
        <v>12516.945</v>
      </c>
      <c r="M11" s="110" t="s">
        <v>40</v>
      </c>
      <c r="N11">
        <v>4600</v>
      </c>
      <c r="O11">
        <v>3056.3780000000002</v>
      </c>
      <c r="P11">
        <v>7656.3780000000006</v>
      </c>
      <c r="S11" s="110" t="s">
        <v>40</v>
      </c>
      <c r="T11">
        <v>23000</v>
      </c>
      <c r="U11">
        <v>14629.504200000001</v>
      </c>
      <c r="V11">
        <v>37629.504200000003</v>
      </c>
      <c r="X11" s="110" t="s">
        <v>40</v>
      </c>
      <c r="Y11">
        <v>6900</v>
      </c>
      <c r="Z11">
        <v>6433.56</v>
      </c>
      <c r="AA11">
        <v>13333.560000000001</v>
      </c>
    </row>
    <row r="12" spans="2:27" x14ac:dyDescent="0.3">
      <c r="B12" s="110" t="s">
        <v>246</v>
      </c>
      <c r="C12" s="419">
        <v>9200</v>
      </c>
      <c r="D12" s="419">
        <v>5799.5420000000004</v>
      </c>
      <c r="E12" s="419">
        <v>14999.542000000001</v>
      </c>
      <c r="H12" s="110" t="s">
        <v>246</v>
      </c>
      <c r="I12">
        <v>6900</v>
      </c>
      <c r="J12">
        <v>5630.9174999999996</v>
      </c>
      <c r="K12">
        <v>12530.9175</v>
      </c>
      <c r="M12" s="110" t="s">
        <v>246</v>
      </c>
      <c r="N12">
        <v>2300</v>
      </c>
      <c r="O12">
        <v>2351.06</v>
      </c>
      <c r="P12">
        <v>4651.0599999999995</v>
      </c>
      <c r="S12" s="110" t="s">
        <v>246</v>
      </c>
      <c r="T12">
        <v>25300</v>
      </c>
      <c r="U12">
        <v>0</v>
      </c>
      <c r="V12">
        <v>25300</v>
      </c>
      <c r="X12" s="110" t="s">
        <v>246</v>
      </c>
      <c r="Y12">
        <v>6900</v>
      </c>
      <c r="Z12">
        <v>4185.54</v>
      </c>
      <c r="AA12">
        <v>11085.54</v>
      </c>
    </row>
    <row r="13" spans="2:27" x14ac:dyDescent="0.3">
      <c r="B13" s="110" t="s">
        <v>96</v>
      </c>
      <c r="C13" s="419">
        <v>9200</v>
      </c>
      <c r="D13" s="419">
        <v>5799.5420000000004</v>
      </c>
      <c r="E13" s="419">
        <v>14999.542000000001</v>
      </c>
      <c r="H13" s="110" t="s">
        <v>96</v>
      </c>
      <c r="I13">
        <v>6900</v>
      </c>
      <c r="J13">
        <v>4443.2550000000001</v>
      </c>
      <c r="K13">
        <v>11343.255000000001</v>
      </c>
      <c r="M13" s="110" t="s">
        <v>96</v>
      </c>
      <c r="N13">
        <v>4600</v>
      </c>
      <c r="O13">
        <v>1460.1320000000001</v>
      </c>
      <c r="P13">
        <v>6060.1319999999996</v>
      </c>
      <c r="S13" s="110" t="s">
        <v>96</v>
      </c>
      <c r="T13">
        <v>25300</v>
      </c>
      <c r="U13">
        <v>0</v>
      </c>
      <c r="V13">
        <v>25300</v>
      </c>
      <c r="X13" s="110" t="s">
        <v>96</v>
      </c>
      <c r="Y13">
        <v>6900</v>
      </c>
      <c r="Z13">
        <v>3303.72</v>
      </c>
      <c r="AA13">
        <v>10203.719999999999</v>
      </c>
    </row>
    <row r="14" spans="2:27" x14ac:dyDescent="0.3">
      <c r="B14" s="110" t="s">
        <v>164</v>
      </c>
      <c r="C14" s="419">
        <v>9200</v>
      </c>
      <c r="D14" s="419">
        <v>5799.5420000000004</v>
      </c>
      <c r="E14" s="419">
        <v>14999.542000000001</v>
      </c>
      <c r="H14" s="110" t="s">
        <v>164</v>
      </c>
      <c r="I14">
        <v>6900</v>
      </c>
      <c r="J14">
        <v>4848.4575000000004</v>
      </c>
      <c r="K14">
        <v>11748.4575</v>
      </c>
      <c r="M14" s="110" t="s">
        <v>164</v>
      </c>
      <c r="N14">
        <v>2300</v>
      </c>
      <c r="O14">
        <v>2351.06</v>
      </c>
      <c r="P14">
        <v>4651.0599999999995</v>
      </c>
      <c r="S14" s="110" t="s">
        <v>164</v>
      </c>
      <c r="T14">
        <v>25300</v>
      </c>
      <c r="U14">
        <v>0</v>
      </c>
      <c r="V14">
        <v>25300</v>
      </c>
      <c r="X14" s="110" t="s">
        <v>164</v>
      </c>
      <c r="Y14">
        <v>6900</v>
      </c>
      <c r="Z14">
        <v>3328.56</v>
      </c>
      <c r="AA14">
        <v>10228.56</v>
      </c>
    </row>
    <row r="17" spans="2:27" x14ac:dyDescent="0.3">
      <c r="B17" s="110" t="s">
        <v>316</v>
      </c>
      <c r="C17" s="419"/>
      <c r="D17" s="419"/>
      <c r="E17" s="419"/>
      <c r="H17" s="110" t="s">
        <v>317</v>
      </c>
      <c r="I17" s="419"/>
      <c r="J17" s="419"/>
      <c r="K17" s="419"/>
      <c r="M17" s="110" t="s">
        <v>318</v>
      </c>
      <c r="S17" s="449" t="s">
        <v>319</v>
      </c>
      <c r="T17" s="172" t="s">
        <v>320</v>
      </c>
      <c r="U17" s="172" t="s">
        <v>321</v>
      </c>
      <c r="V17" s="172" t="s">
        <v>322</v>
      </c>
      <c r="X17" s="110" t="s">
        <v>323</v>
      </c>
    </row>
    <row r="18" spans="2:27" x14ac:dyDescent="0.3">
      <c r="B18" s="110" t="s">
        <v>315</v>
      </c>
      <c r="C18" s="110" t="s">
        <v>74</v>
      </c>
      <c r="D18" s="110" t="s">
        <v>75</v>
      </c>
      <c r="E18" s="110" t="s">
        <v>76</v>
      </c>
      <c r="H18" s="110" t="s">
        <v>315</v>
      </c>
      <c r="I18" s="110" t="s">
        <v>74</v>
      </c>
      <c r="J18" s="110" t="s">
        <v>75</v>
      </c>
      <c r="K18" s="110" t="s">
        <v>76</v>
      </c>
      <c r="M18" s="110" t="s">
        <v>315</v>
      </c>
      <c r="N18" s="110" t="s">
        <v>74</v>
      </c>
      <c r="O18" s="110" t="s">
        <v>75</v>
      </c>
      <c r="P18" s="110" t="s">
        <v>76</v>
      </c>
      <c r="S18" s="449" t="s">
        <v>315</v>
      </c>
      <c r="T18" s="449" t="s">
        <v>74</v>
      </c>
      <c r="U18" s="449" t="s">
        <v>75</v>
      </c>
      <c r="V18" s="449" t="s">
        <v>76</v>
      </c>
      <c r="X18" s="110" t="s">
        <v>315</v>
      </c>
      <c r="Y18" s="110" t="s">
        <v>74</v>
      </c>
      <c r="Z18" s="110" t="s">
        <v>75</v>
      </c>
      <c r="AA18" s="110" t="s">
        <v>76</v>
      </c>
    </row>
    <row r="19" spans="2:27" x14ac:dyDescent="0.3">
      <c r="B19" s="110" t="s">
        <v>40</v>
      </c>
      <c r="C19">
        <v>9200</v>
      </c>
      <c r="D19">
        <v>6842.6149999999998</v>
      </c>
      <c r="E19">
        <v>16042.615</v>
      </c>
      <c r="H19" s="110" t="s">
        <v>40</v>
      </c>
      <c r="I19">
        <v>4600</v>
      </c>
      <c r="J19">
        <v>3786.5475000000006</v>
      </c>
      <c r="K19">
        <v>8386.5475000000006</v>
      </c>
      <c r="M19" s="110" t="s">
        <v>40</v>
      </c>
      <c r="N19" s="351">
        <v>6900</v>
      </c>
      <c r="O19">
        <v>5952.5839999999998</v>
      </c>
      <c r="P19">
        <v>12852.583999999999</v>
      </c>
      <c r="S19" s="449" t="s">
        <v>40</v>
      </c>
      <c r="T19" s="172">
        <v>13800</v>
      </c>
      <c r="U19" s="172">
        <v>12659.775000000001</v>
      </c>
      <c r="V19" s="172">
        <v>26459.775000000001</v>
      </c>
      <c r="X19" s="110" t="s">
        <v>40</v>
      </c>
      <c r="Y19">
        <v>4600</v>
      </c>
      <c r="Z19">
        <v>4140.0000000000009</v>
      </c>
      <c r="AA19">
        <v>8740</v>
      </c>
    </row>
    <row r="20" spans="2:27" x14ac:dyDescent="0.3">
      <c r="B20" s="110" t="s">
        <v>246</v>
      </c>
      <c r="C20">
        <v>9200</v>
      </c>
      <c r="D20">
        <v>7134.8874999999998</v>
      </c>
      <c r="E20">
        <v>16334.887500000001</v>
      </c>
      <c r="H20" s="110" t="s">
        <v>246</v>
      </c>
      <c r="I20">
        <v>6900</v>
      </c>
      <c r="J20">
        <v>2130.9575</v>
      </c>
      <c r="K20">
        <v>9030.9575000000004</v>
      </c>
      <c r="M20" s="110" t="s">
        <v>246</v>
      </c>
      <c r="N20">
        <v>4600</v>
      </c>
      <c r="O20">
        <v>5728.9319999999998</v>
      </c>
      <c r="P20">
        <v>10328.932000000001</v>
      </c>
      <c r="S20" s="449" t="s">
        <v>246</v>
      </c>
      <c r="T20" s="172">
        <v>6900</v>
      </c>
      <c r="U20" s="172">
        <v>14809.815000000001</v>
      </c>
      <c r="V20" s="172">
        <v>21709.815000000002</v>
      </c>
      <c r="X20" s="110" t="s">
        <v>246</v>
      </c>
      <c r="Y20">
        <v>6900</v>
      </c>
      <c r="Z20">
        <v>1840.0000000000002</v>
      </c>
      <c r="AA20">
        <v>8740</v>
      </c>
    </row>
    <row r="21" spans="2:27" x14ac:dyDescent="0.3">
      <c r="B21" s="110" t="s">
        <v>96</v>
      </c>
      <c r="C21">
        <v>9200</v>
      </c>
      <c r="D21">
        <v>7134.8874999999998</v>
      </c>
      <c r="E21">
        <v>16334.887500000001</v>
      </c>
      <c r="H21" s="110" t="s">
        <v>96</v>
      </c>
      <c r="I21">
        <v>4600</v>
      </c>
      <c r="J21">
        <v>3129.84</v>
      </c>
      <c r="K21">
        <v>7729.84</v>
      </c>
      <c r="M21" s="110" t="s">
        <v>96</v>
      </c>
      <c r="N21">
        <v>6900</v>
      </c>
      <c r="O21">
        <v>4937.5479999999998</v>
      </c>
      <c r="P21">
        <v>11837.547999999999</v>
      </c>
      <c r="S21" s="449" t="s">
        <v>96</v>
      </c>
      <c r="T21" s="172">
        <v>11500</v>
      </c>
      <c r="U21" s="172">
        <v>6054.0599999999995</v>
      </c>
      <c r="V21" s="172">
        <v>17554.059999999998</v>
      </c>
      <c r="X21" s="110" t="s">
        <v>96</v>
      </c>
      <c r="Y21">
        <v>25300</v>
      </c>
      <c r="Z21">
        <v>0</v>
      </c>
      <c r="AA21">
        <v>25300</v>
      </c>
    </row>
    <row r="22" spans="2:27" x14ac:dyDescent="0.3">
      <c r="B22" s="110" t="s">
        <v>164</v>
      </c>
      <c r="C22">
        <v>9200</v>
      </c>
      <c r="D22">
        <v>7134.8874999999998</v>
      </c>
      <c r="E22">
        <v>16334.887500000001</v>
      </c>
      <c r="H22" s="110" t="s">
        <v>164</v>
      </c>
      <c r="I22">
        <v>4600</v>
      </c>
      <c r="J22">
        <v>3129.8399999999997</v>
      </c>
      <c r="K22">
        <v>7729.84</v>
      </c>
      <c r="M22" s="110" t="s">
        <v>164</v>
      </c>
      <c r="N22">
        <v>6900</v>
      </c>
      <c r="O22">
        <v>4937.5479999999998</v>
      </c>
      <c r="P22">
        <v>11837.547999999999</v>
      </c>
      <c r="S22" s="449" t="s">
        <v>164</v>
      </c>
      <c r="T22" s="172">
        <v>9200</v>
      </c>
      <c r="U22" s="172">
        <v>8911.35</v>
      </c>
      <c r="V22" s="172">
        <v>18111.349999999999</v>
      </c>
      <c r="X22" s="110" t="s">
        <v>164</v>
      </c>
      <c r="Y22">
        <v>4600</v>
      </c>
      <c r="Z22">
        <v>4176.8</v>
      </c>
      <c r="AA22">
        <v>8776.7999999999993</v>
      </c>
    </row>
    <row r="25" spans="2:27" x14ac:dyDescent="0.3">
      <c r="B25" s="110" t="s">
        <v>324</v>
      </c>
      <c r="C25" s="450" t="s">
        <v>297</v>
      </c>
      <c r="D25" s="450" t="s">
        <v>325</v>
      </c>
      <c r="E25" s="450" t="s">
        <v>326</v>
      </c>
      <c r="H25" s="110" t="s">
        <v>327</v>
      </c>
      <c r="I25" s="419"/>
      <c r="J25" s="419"/>
      <c r="K25" s="419"/>
      <c r="M25" s="110" t="s">
        <v>328</v>
      </c>
      <c r="S25" s="110" t="s">
        <v>329</v>
      </c>
      <c r="X25" s="110" t="s">
        <v>330</v>
      </c>
    </row>
    <row r="26" spans="2:27" x14ac:dyDescent="0.3">
      <c r="B26" s="110" t="s">
        <v>315</v>
      </c>
      <c r="C26" s="110" t="s">
        <v>74</v>
      </c>
      <c r="D26" s="110" t="s">
        <v>75</v>
      </c>
      <c r="E26" s="110" t="s">
        <v>76</v>
      </c>
      <c r="H26" s="110" t="s">
        <v>315</v>
      </c>
      <c r="I26" s="110" t="s">
        <v>74</v>
      </c>
      <c r="J26" s="110" t="s">
        <v>75</v>
      </c>
      <c r="K26" s="110" t="s">
        <v>76</v>
      </c>
      <c r="M26" s="110" t="s">
        <v>315</v>
      </c>
      <c r="N26" s="110" t="s">
        <v>74</v>
      </c>
      <c r="O26" s="110" t="s">
        <v>75</v>
      </c>
      <c r="P26" s="110" t="s">
        <v>76</v>
      </c>
      <c r="S26" s="110" t="s">
        <v>315</v>
      </c>
      <c r="T26" s="110" t="s">
        <v>74</v>
      </c>
      <c r="U26" s="110" t="s">
        <v>75</v>
      </c>
      <c r="V26" s="110" t="s">
        <v>76</v>
      </c>
      <c r="X26" s="110" t="s">
        <v>315</v>
      </c>
      <c r="Y26" s="110" t="s">
        <v>74</v>
      </c>
      <c r="Z26" s="110" t="s">
        <v>75</v>
      </c>
      <c r="AA26" s="110" t="s">
        <v>76</v>
      </c>
    </row>
    <row r="27" spans="2:27" x14ac:dyDescent="0.3">
      <c r="B27" s="110" t="s">
        <v>40</v>
      </c>
      <c r="C27">
        <v>4600</v>
      </c>
      <c r="D27">
        <v>4217.7400000000007</v>
      </c>
      <c r="E27">
        <v>8817.7400000000016</v>
      </c>
      <c r="H27" s="110" t="s">
        <v>40</v>
      </c>
      <c r="I27">
        <v>4600</v>
      </c>
      <c r="J27">
        <v>3996.1350000000002</v>
      </c>
      <c r="K27">
        <v>8596.1350000000002</v>
      </c>
      <c r="M27" s="110" t="s">
        <v>40</v>
      </c>
      <c r="N27" s="115">
        <v>6900</v>
      </c>
      <c r="O27" s="115">
        <v>5495.85</v>
      </c>
      <c r="P27" s="115">
        <v>12395.85</v>
      </c>
      <c r="S27" s="110" t="s">
        <v>40</v>
      </c>
      <c r="T27">
        <v>11500</v>
      </c>
      <c r="U27">
        <v>11250.449999999999</v>
      </c>
      <c r="V27">
        <v>22750.449999999997</v>
      </c>
      <c r="X27" s="110" t="s">
        <v>40</v>
      </c>
      <c r="Y27">
        <v>9200</v>
      </c>
      <c r="Z27">
        <v>8453.3624999999993</v>
      </c>
      <c r="AA27">
        <v>17653.362499999999</v>
      </c>
    </row>
    <row r="28" spans="2:27" x14ac:dyDescent="0.3">
      <c r="B28" s="110" t="s">
        <v>246</v>
      </c>
      <c r="C28">
        <v>4600</v>
      </c>
      <c r="D28">
        <v>2925.6000000000004</v>
      </c>
      <c r="E28">
        <v>7525.6</v>
      </c>
      <c r="H28" s="110" t="s">
        <v>246</v>
      </c>
      <c r="I28">
        <v>4600</v>
      </c>
      <c r="J28">
        <v>3325.4549999999999</v>
      </c>
      <c r="K28">
        <v>7925.4549999999999</v>
      </c>
      <c r="M28" s="110" t="s">
        <v>246</v>
      </c>
      <c r="N28">
        <v>4600</v>
      </c>
      <c r="O28">
        <v>4781.7</v>
      </c>
      <c r="P28">
        <v>9381.7000000000007</v>
      </c>
      <c r="S28" s="110" t="s">
        <v>246</v>
      </c>
      <c r="T28">
        <v>9200</v>
      </c>
      <c r="U28">
        <v>6831</v>
      </c>
      <c r="V28">
        <v>16031</v>
      </c>
      <c r="X28" s="110" t="s">
        <v>246</v>
      </c>
      <c r="Y28">
        <v>6900</v>
      </c>
      <c r="Z28">
        <v>5700.78</v>
      </c>
      <c r="AA28">
        <v>12600.779999999999</v>
      </c>
    </row>
    <row r="29" spans="2:27" x14ac:dyDescent="0.3">
      <c r="B29" s="110" t="s">
        <v>96</v>
      </c>
      <c r="C29">
        <v>4600</v>
      </c>
      <c r="D29">
        <v>3522.9100000000003</v>
      </c>
      <c r="E29">
        <v>8122.91</v>
      </c>
      <c r="H29" s="110" t="s">
        <v>96</v>
      </c>
      <c r="I29">
        <v>6900</v>
      </c>
      <c r="J29">
        <v>3339.4274999999998</v>
      </c>
      <c r="K29">
        <v>10239.4275</v>
      </c>
      <c r="M29" s="110" t="s">
        <v>96</v>
      </c>
      <c r="N29">
        <v>6900</v>
      </c>
      <c r="O29">
        <v>3648.375</v>
      </c>
      <c r="P29">
        <v>10548.375</v>
      </c>
      <c r="S29" s="110" t="s">
        <v>96</v>
      </c>
      <c r="T29">
        <v>9200</v>
      </c>
      <c r="U29">
        <v>6831</v>
      </c>
      <c r="V29">
        <v>16031</v>
      </c>
      <c r="X29" s="110" t="s">
        <v>96</v>
      </c>
      <c r="Y29">
        <v>25300</v>
      </c>
      <c r="Z29">
        <v>0</v>
      </c>
      <c r="AA29">
        <v>25300</v>
      </c>
    </row>
    <row r="30" spans="2:27" x14ac:dyDescent="0.3">
      <c r="B30" s="110" t="s">
        <v>164</v>
      </c>
      <c r="C30">
        <v>4600</v>
      </c>
      <c r="D30">
        <v>2925.6000000000004</v>
      </c>
      <c r="E30">
        <v>7525.6</v>
      </c>
      <c r="H30" s="110" t="s">
        <v>164</v>
      </c>
      <c r="I30">
        <v>4600</v>
      </c>
      <c r="J30">
        <v>3325.4549999999999</v>
      </c>
      <c r="K30">
        <v>7925.4549999999999</v>
      </c>
      <c r="M30" s="110" t="s">
        <v>164</v>
      </c>
      <c r="N30">
        <v>4600</v>
      </c>
      <c r="O30">
        <v>4347</v>
      </c>
      <c r="P30">
        <v>8947</v>
      </c>
      <c r="S30" s="110" t="s">
        <v>164</v>
      </c>
      <c r="T30">
        <v>9200</v>
      </c>
      <c r="U30">
        <v>6831</v>
      </c>
      <c r="V30">
        <v>16031</v>
      </c>
      <c r="X30" s="110" t="s">
        <v>164</v>
      </c>
      <c r="Y30">
        <v>6900</v>
      </c>
      <c r="Z30">
        <v>5295.5775000000003</v>
      </c>
      <c r="AA30">
        <v>12195.577499999999</v>
      </c>
    </row>
    <row r="33" spans="2:27" x14ac:dyDescent="0.3">
      <c r="B33" s="110" t="s">
        <v>331</v>
      </c>
      <c r="H33" s="110" t="s">
        <v>332</v>
      </c>
      <c r="I33" s="419"/>
      <c r="J33" s="419"/>
      <c r="K33" s="419"/>
      <c r="M33" s="110" t="s">
        <v>333</v>
      </c>
      <c r="S33" s="110" t="s">
        <v>334</v>
      </c>
      <c r="X33" s="110" t="s">
        <v>335</v>
      </c>
    </row>
    <row r="34" spans="2:27" x14ac:dyDescent="0.3">
      <c r="B34" s="110" t="s">
        <v>315</v>
      </c>
      <c r="C34" s="110" t="s">
        <v>74</v>
      </c>
      <c r="D34" s="110" t="s">
        <v>75</v>
      </c>
      <c r="E34" s="110" t="s">
        <v>76</v>
      </c>
      <c r="H34" s="110" t="s">
        <v>315</v>
      </c>
      <c r="I34" s="110" t="s">
        <v>74</v>
      </c>
      <c r="J34" s="110" t="s">
        <v>75</v>
      </c>
      <c r="K34" s="110" t="s">
        <v>76</v>
      </c>
      <c r="M34" s="110" t="s">
        <v>315</v>
      </c>
      <c r="N34" s="110" t="s">
        <v>74</v>
      </c>
      <c r="O34" s="110" t="s">
        <v>75</v>
      </c>
      <c r="P34" s="110" t="s">
        <v>76</v>
      </c>
      <c r="S34" s="110" t="s">
        <v>315</v>
      </c>
      <c r="T34" s="110" t="s">
        <v>74</v>
      </c>
      <c r="U34" s="110" t="s">
        <v>75</v>
      </c>
      <c r="V34" s="110" t="s">
        <v>76</v>
      </c>
      <c r="X34" s="110" t="s">
        <v>315</v>
      </c>
      <c r="Y34" s="110" t="s">
        <v>74</v>
      </c>
      <c r="Z34" s="110" t="s">
        <v>75</v>
      </c>
      <c r="AA34" s="110" t="s">
        <v>76</v>
      </c>
    </row>
    <row r="35" spans="2:27" x14ac:dyDescent="0.3">
      <c r="B35" s="110" t="s">
        <v>40</v>
      </c>
      <c r="C35">
        <v>4600</v>
      </c>
      <c r="D35">
        <v>3655.2750000000005</v>
      </c>
      <c r="E35">
        <v>8255.2750000000015</v>
      </c>
      <c r="H35" s="110" t="s">
        <v>40</v>
      </c>
      <c r="I35">
        <v>6900</v>
      </c>
      <c r="J35">
        <v>6139.7350000000006</v>
      </c>
      <c r="K35">
        <v>13039.735000000001</v>
      </c>
      <c r="M35" s="110" t="s">
        <v>40</v>
      </c>
      <c r="N35">
        <v>6900</v>
      </c>
      <c r="O35">
        <v>5148.2624999999998</v>
      </c>
      <c r="P35">
        <v>12048.262500000001</v>
      </c>
      <c r="S35" s="110" t="s">
        <v>40</v>
      </c>
      <c r="T35">
        <v>4600</v>
      </c>
      <c r="U35">
        <v>3798.7950000000001</v>
      </c>
      <c r="V35">
        <v>8398.7950000000001</v>
      </c>
      <c r="X35" s="110" t="s">
        <v>40</v>
      </c>
      <c r="Y35">
        <v>6900</v>
      </c>
      <c r="Z35">
        <v>5141.88</v>
      </c>
      <c r="AA35">
        <v>12041.880000000001</v>
      </c>
    </row>
    <row r="36" spans="2:27" x14ac:dyDescent="0.3">
      <c r="B36" s="110" t="s">
        <v>246</v>
      </c>
      <c r="C36">
        <v>2300</v>
      </c>
      <c r="D36">
        <v>1405.8750000000002</v>
      </c>
      <c r="E36">
        <v>3705.875</v>
      </c>
      <c r="H36" s="110" t="s">
        <v>246</v>
      </c>
      <c r="I36">
        <v>6900</v>
      </c>
      <c r="J36">
        <v>5929.630000000001</v>
      </c>
      <c r="K36">
        <v>12829.630000000001</v>
      </c>
      <c r="M36" s="110" t="s">
        <v>246</v>
      </c>
      <c r="N36">
        <v>4600</v>
      </c>
      <c r="O36">
        <v>4645.5974999999999</v>
      </c>
      <c r="P36">
        <v>9245.5974999999999</v>
      </c>
      <c r="S36" s="110" t="s">
        <v>246</v>
      </c>
      <c r="T36">
        <v>4600</v>
      </c>
      <c r="U36">
        <v>2476.87</v>
      </c>
      <c r="V36">
        <v>7076.87</v>
      </c>
      <c r="X36" s="110" t="s">
        <v>246</v>
      </c>
      <c r="Y36">
        <v>4600</v>
      </c>
      <c r="Z36">
        <v>4010.1075000000001</v>
      </c>
      <c r="AA36">
        <v>8610.1075000000001</v>
      </c>
    </row>
    <row r="37" spans="2:27" x14ac:dyDescent="0.3">
      <c r="B37" s="110" t="s">
        <v>96</v>
      </c>
      <c r="C37">
        <v>2300</v>
      </c>
      <c r="D37">
        <v>4217.625</v>
      </c>
      <c r="E37">
        <v>6517.625</v>
      </c>
      <c r="H37" s="110" t="s">
        <v>96</v>
      </c>
      <c r="I37">
        <v>6900</v>
      </c>
      <c r="J37">
        <v>4809.0700000000006</v>
      </c>
      <c r="K37">
        <v>11709.07</v>
      </c>
      <c r="M37" s="110" t="s">
        <v>96</v>
      </c>
      <c r="N37">
        <v>6900</v>
      </c>
      <c r="O37">
        <v>3713.2350000000001</v>
      </c>
      <c r="P37">
        <v>10613.235000000001</v>
      </c>
      <c r="S37" s="110" t="s">
        <v>96</v>
      </c>
      <c r="T37">
        <v>4600</v>
      </c>
      <c r="U37">
        <v>2922.1499999999996</v>
      </c>
      <c r="V37">
        <v>7522.15</v>
      </c>
      <c r="X37" s="110" t="s">
        <v>96</v>
      </c>
      <c r="Y37">
        <v>25300</v>
      </c>
      <c r="Z37">
        <v>0</v>
      </c>
      <c r="AA37">
        <v>25300</v>
      </c>
    </row>
    <row r="38" spans="2:27" x14ac:dyDescent="0.3">
      <c r="B38" s="110" t="s">
        <v>164</v>
      </c>
      <c r="C38">
        <v>4600</v>
      </c>
      <c r="D38">
        <v>2530.5750000000003</v>
      </c>
      <c r="E38">
        <v>7130.5750000000007</v>
      </c>
      <c r="H38" s="110" t="s">
        <v>164</v>
      </c>
      <c r="I38">
        <v>6900</v>
      </c>
      <c r="J38">
        <v>4809.0700000000006</v>
      </c>
      <c r="K38">
        <v>11709.07</v>
      </c>
      <c r="M38" s="110" t="s">
        <v>164</v>
      </c>
      <c r="N38">
        <v>4600</v>
      </c>
      <c r="O38">
        <v>4523.9849999999997</v>
      </c>
      <c r="P38">
        <v>9123.9850000000006</v>
      </c>
      <c r="S38" s="110" t="s">
        <v>164</v>
      </c>
      <c r="T38">
        <v>4600</v>
      </c>
      <c r="U38">
        <v>2476.87</v>
      </c>
      <c r="V38">
        <v>7076.87</v>
      </c>
      <c r="X38" s="110" t="s">
        <v>164</v>
      </c>
      <c r="Y38">
        <v>6900</v>
      </c>
      <c r="Z38">
        <v>3185.73</v>
      </c>
      <c r="AA38">
        <v>10085.73</v>
      </c>
    </row>
    <row r="43" spans="2:27" x14ac:dyDescent="0.3">
      <c r="H43" s="448" t="s">
        <v>336</v>
      </c>
      <c r="I43" s="448" t="s">
        <v>337</v>
      </c>
      <c r="J43" s="448" t="s">
        <v>338</v>
      </c>
    </row>
    <row r="44" spans="2:27" x14ac:dyDescent="0.3">
      <c r="H44" s="172" t="s">
        <v>339</v>
      </c>
      <c r="I44" s="172">
        <v>14999.542000000001</v>
      </c>
      <c r="J44" s="448" t="s">
        <v>340</v>
      </c>
    </row>
    <row r="45" spans="2:27" x14ac:dyDescent="0.3">
      <c r="H45" s="172" t="s">
        <v>341</v>
      </c>
      <c r="I45" s="172">
        <v>16042.615</v>
      </c>
      <c r="J45" s="448" t="s">
        <v>40</v>
      </c>
    </row>
    <row r="46" spans="2:27" x14ac:dyDescent="0.3">
      <c r="H46" s="172" t="s">
        <v>342</v>
      </c>
      <c r="I46" s="172">
        <v>7525.6</v>
      </c>
      <c r="J46" s="449" t="s">
        <v>343</v>
      </c>
    </row>
    <row r="47" spans="2:27" x14ac:dyDescent="0.3">
      <c r="H47" s="172" t="s">
        <v>344</v>
      </c>
      <c r="I47" s="172">
        <v>3705.875</v>
      </c>
      <c r="J47" s="448" t="s">
        <v>246</v>
      </c>
    </row>
    <row r="48" spans="2:27" x14ac:dyDescent="0.3">
      <c r="H48" s="172" t="s">
        <v>68</v>
      </c>
      <c r="I48" s="172">
        <v>11343.255000000001</v>
      </c>
      <c r="J48" s="448" t="s">
        <v>96</v>
      </c>
    </row>
    <row r="49" spans="8:10" x14ac:dyDescent="0.3">
      <c r="H49" s="172" t="s">
        <v>109</v>
      </c>
      <c r="I49" s="172">
        <v>7729.84</v>
      </c>
      <c r="J49" s="448" t="s">
        <v>345</v>
      </c>
    </row>
    <row r="50" spans="8:10" x14ac:dyDescent="0.3">
      <c r="H50" s="172" t="s">
        <v>117</v>
      </c>
      <c r="I50" s="172">
        <v>7925.4549999999999</v>
      </c>
      <c r="J50" s="448" t="s">
        <v>343</v>
      </c>
    </row>
    <row r="51" spans="8:10" x14ac:dyDescent="0.3">
      <c r="H51" s="172" t="s">
        <v>346</v>
      </c>
      <c r="I51" s="172">
        <v>11709.07</v>
      </c>
      <c r="J51" s="448" t="s">
        <v>345</v>
      </c>
    </row>
    <row r="52" spans="8:10" x14ac:dyDescent="0.3">
      <c r="H52" s="172" t="s">
        <v>347</v>
      </c>
      <c r="I52" s="172">
        <v>4651.0599999999995</v>
      </c>
      <c r="J52" s="448" t="s">
        <v>343</v>
      </c>
    </row>
    <row r="53" spans="8:10" x14ac:dyDescent="0.3">
      <c r="H53" s="172" t="s">
        <v>148</v>
      </c>
      <c r="I53" s="172">
        <v>10328.932000000001</v>
      </c>
      <c r="J53" s="448" t="s">
        <v>246</v>
      </c>
    </row>
    <row r="54" spans="8:10" x14ac:dyDescent="0.3">
      <c r="H54" s="172" t="s">
        <v>154</v>
      </c>
      <c r="I54" s="172">
        <v>8947</v>
      </c>
      <c r="J54" s="448" t="s">
        <v>164</v>
      </c>
    </row>
    <row r="55" spans="8:10" x14ac:dyDescent="0.3">
      <c r="H55" s="172" t="s">
        <v>157</v>
      </c>
      <c r="I55" s="172">
        <v>9123.9850000000006</v>
      </c>
      <c r="J55" s="448" t="s">
        <v>164</v>
      </c>
    </row>
    <row r="56" spans="8:10" x14ac:dyDescent="0.3">
      <c r="H56" s="172" t="s">
        <v>0</v>
      </c>
      <c r="I56" s="172">
        <v>25300</v>
      </c>
      <c r="J56" s="448" t="s">
        <v>340</v>
      </c>
    </row>
    <row r="57" spans="8:10" x14ac:dyDescent="0.3">
      <c r="H57" s="172" t="s">
        <v>348</v>
      </c>
      <c r="I57" s="172">
        <v>17554.059999999998</v>
      </c>
      <c r="J57" s="448" t="s">
        <v>96</v>
      </c>
    </row>
    <row r="58" spans="8:10" x14ac:dyDescent="0.3">
      <c r="H58" s="172" t="s">
        <v>225</v>
      </c>
      <c r="I58" s="172">
        <v>16031</v>
      </c>
      <c r="J58" s="448" t="s">
        <v>340</v>
      </c>
    </row>
    <row r="59" spans="8:10" x14ac:dyDescent="0.3">
      <c r="H59" s="172" t="s">
        <v>235</v>
      </c>
      <c r="I59" s="172">
        <v>7076.87</v>
      </c>
      <c r="J59" s="448" t="s">
        <v>343</v>
      </c>
    </row>
    <row r="60" spans="8:10" x14ac:dyDescent="0.3">
      <c r="H60" s="172" t="s">
        <v>349</v>
      </c>
      <c r="I60" s="172">
        <v>10203.719999999999</v>
      </c>
      <c r="J60" s="448" t="s">
        <v>96</v>
      </c>
    </row>
    <row r="61" spans="8:10" x14ac:dyDescent="0.3">
      <c r="H61" s="172" t="s">
        <v>285</v>
      </c>
      <c r="I61" s="172">
        <v>8740</v>
      </c>
      <c r="J61" s="448" t="s">
        <v>350</v>
      </c>
    </row>
    <row r="62" spans="8:10" x14ac:dyDescent="0.3">
      <c r="H62" s="172" t="s">
        <v>351</v>
      </c>
      <c r="I62" s="172">
        <v>12195.577499999999</v>
      </c>
      <c r="J62" s="448" t="s">
        <v>164</v>
      </c>
    </row>
    <row r="63" spans="8:10" x14ac:dyDescent="0.3">
      <c r="H63" s="172" t="s">
        <v>307</v>
      </c>
      <c r="I63" s="172">
        <v>8610.1075000000001</v>
      </c>
      <c r="J63" s="448" t="s">
        <v>246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22</vt:i4>
      </vt:variant>
    </vt:vector>
  </HeadingPairs>
  <TitlesOfParts>
    <vt:vector size="22" baseType="lpstr">
      <vt:lpstr>Sensitivity Analysis</vt:lpstr>
      <vt:lpstr>CUBE</vt:lpstr>
      <vt:lpstr>EKRU</vt:lpstr>
      <vt:lpstr>ZAMBAK</vt:lpstr>
      <vt:lpstr>NİSA</vt:lpstr>
      <vt:lpstr>CHESTER</vt:lpstr>
      <vt:lpstr>ONE</vt:lpstr>
      <vt:lpstr>KUPA</vt:lpstr>
      <vt:lpstr>TUBE</vt:lpstr>
      <vt:lpstr>KURE</vt:lpstr>
      <vt:lpstr>.ITALIC</vt:lpstr>
      <vt:lpstr>.RUBA</vt:lpstr>
      <vt:lpstr>LILA</vt:lpstr>
      <vt:lpstr>Ceylin</vt:lpstr>
      <vt:lpstr>Meryem</vt:lpstr>
      <vt:lpstr>.İnci</vt:lpstr>
      <vt:lpstr>Viva</vt:lpstr>
      <vt:lpstr>Sandalye ayağı</vt:lpstr>
      <vt:lpstr>CUBİC</vt:lpstr>
      <vt:lpstr>.Limon</vt:lpstr>
      <vt:lpstr>ELA</vt:lpstr>
      <vt:lpstr>Conclusion ve result tablo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sude sağlam</dc:creator>
  <cp:keywords/>
  <dc:description/>
  <cp:lastModifiedBy>Zeynep Uluç</cp:lastModifiedBy>
  <cp:revision/>
  <dcterms:created xsi:type="dcterms:W3CDTF">2025-04-30T08:55:26Z</dcterms:created>
  <dcterms:modified xsi:type="dcterms:W3CDTF">2026-07-16T12:33:33Z</dcterms:modified>
  <cp:category/>
  <cp:contentStatus/>
</cp:coreProperties>
</file>